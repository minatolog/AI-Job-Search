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526712f4e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Plan" sheetId="1" r:id="R8a6d5d55e5624873"/>
    <x:sheet xmlns:r="http://schemas.openxmlformats.org/officeDocument/2006/relationships" name="Job Applications" sheetId="2" r:id="R1941e29cb6904bc5"/>
    <x:sheet xmlns:r="http://schemas.openxmlformats.org/officeDocument/2006/relationships" name="Skill Gaps" sheetId="3" r:id="R8b67413b0e31483f"/>
    <x:sheet xmlns:r="http://schemas.openxmlformats.org/officeDocument/2006/relationships" name="Interview Questions" sheetId="4" r:id="Rd1e4aee3961e4ef8"/>
    <x:sheet xmlns:r="http://schemas.openxmlformats.org/officeDocument/2006/relationships" name="JD Skill Frequency" sheetId="5" r:id="R5c35dcd730a14fd6"/>
    <x:sheet xmlns:r="http://schemas.openxmlformats.org/officeDocument/2006/relationships" name="Project Milestones" sheetId="6" r:id="R810d50bec42b445b"/>
    <x:sheet xmlns:r="http://schemas.openxmlformats.org/officeDocument/2006/relationships" name="Weekly Review" sheetId="7" r:id="Rf3134a17432e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%"/>
    <x:numFmt numFmtId="203" formatCode="0"/>
  </x:numFmts>
  <x:fonts count="8">
    <x:font>
      <x:sz val="11"/>
      <x:name val="Carlito"/>
    </x:font>
    <x:font>
      <x:b/>
      <x:sz val="14"/>
      <x:color rgb="FF1F4E78"/>
      <x:name val="Arial"/>
    </x:font>
    <x:font>
      <x:i/>
      <x:sz val="10"/>
      <x:color rgb="FF667085"/>
      <x:name val="Arial"/>
    </x:font>
    <x:font>
      <x:sz val="11"/>
      <x:name val="Arial"/>
    </x:font>
    <x:font>
      <x:b/>
      <x:sz val="10"/>
      <x:color rgb="FF1F4E78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C"/>
      </x:patternFill>
    </x:fill>
    <x:fill>
      <x:patternFill patternType="solid">
        <x:fgColor rgb="FFF2F4F7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vertical="top" wrapText="1"/>
    </x:xf>
    <x:xf numFmtId="200" fontId="7" fillId="0" borderId="5" xfId="0" applyNumberFormat="1" applyFont="1" applyFill="1" applyBorder="1" applyAlignment="1">
      <x:alignment vertical="top" wrapText="1"/>
    </x:xf>
    <x:xf numFmtId="200" fontId="7" fillId="0" borderId="6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horizontal="center" vertical="top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200" fontId="7" fillId="0" borderId="5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200" fontId="7" fillId="0" borderId="6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horizontal="center" vertical="top" wrapText="1"/>
    </x:xf>
    <x:xf numFmtId="201" fontId="7" fillId="0" borderId="4" xfId="0" applyNumberFormat="1" applyFont="1" applyFill="1" applyBorder="1" applyAlignment="1">
      <x:alignment horizontal="center" vertical="top" wrapText="1"/>
    </x:xf>
    <x:xf numFmtId="201" fontId="7" fillId="0" borderId="5" xfId="0" applyNumberFormat="1" applyFont="1" applyFill="1" applyBorder="1" applyAlignment="1">
      <x:alignment horizontal="center" vertical="top" wrapText="1"/>
    </x:xf>
    <x:xf numFmtId="201" fontId="7" fillId="0" borderId="6" xfId="0" applyNumberFormat="1" applyFont="1" applyFill="1" applyBorder="1" applyAlignment="1">
      <x:alignment horizontal="center" vertical="top" wrapText="1"/>
    </x:xf>
    <x:xf numFmtId="202" fontId="7" fillId="0" borderId="4" xfId="0" applyNumberFormat="1" applyFont="1" applyFill="1" applyBorder="1" applyAlignment="1">
      <x:alignment horizontal="center" vertical="top" wrapText="1"/>
    </x:xf>
    <x:xf numFmtId="202" fontId="7" fillId="0" borderId="5" xfId="0" applyNumberFormat="1" applyFont="1" applyFill="1" applyBorder="1" applyAlignment="1">
      <x:alignment horizontal="center" vertical="top" wrapText="1"/>
    </x:xf>
    <x:xf numFmtId="202" fontId="7" fillId="0" borderId="6" xfId="0" applyNumberFormat="1" applyFont="1" applyFill="1" applyBorder="1" applyAlignment="1">
      <x:alignment horizontal="center" vertical="top" wrapText="1"/>
    </x:xf>
    <x:xf numFmtId="0" fontId="7" fillId="3" borderId="4" xfId="0" applyNumberFormat="1" applyFont="1" applyFill="1" applyBorder="1" applyAlignment="1">
      <x:alignment horizontal="center" vertical="top" wrapText="1"/>
    </x:xf>
    <x:xf numFmtId="202" fontId="7" fillId="3" borderId="4" xfId="0" applyNumberFormat="1" applyFont="1" applyFill="1" applyBorder="1" applyAlignment="1">
      <x:alignment horizontal="center"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horizontal="center" vertical="top" wrapText="1"/>
    </x:xf>
    <x:xf numFmtId="202" fontId="7" fillId="3" borderId="5" xfId="0" applyNumberFormat="1" applyFont="1" applyFill="1" applyBorder="1" applyAlignment="1">
      <x:alignment horizontal="center"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horizontal="center" vertical="top" wrapText="1"/>
    </x:xf>
    <x:xf numFmtId="202" fontId="7" fillId="3" borderId="6" xfId="0" applyNumberFormat="1" applyFont="1" applyFill="1" applyBorder="1" applyAlignment="1">
      <x:alignment horizontal="center" vertical="top" wrapText="1"/>
    </x:xf>
    <x:xf numFmtId="0" fontId="7" fillId="3" borderId="6" xfId="0" applyNumberFormat="1" applyFont="1" applyFill="1" applyBorder="1" applyAlignment="1">
      <x:alignment vertical="top" wrapText="1"/>
    </x:xf>
    <x:xf numFmtId="200" fontId="7" fillId="3" borderId="4" xfId="0" applyNumberFormat="1" applyFont="1" applyFill="1" applyBorder="1" applyAlignment="1">
      <x:alignment horizontal="center" vertical="top" wrapText="1"/>
    </x:xf>
    <x:xf numFmtId="200" fontId="7" fillId="3" borderId="5" xfId="0" applyNumberFormat="1" applyFont="1" applyFill="1" applyBorder="1" applyAlignment="1">
      <x:alignment horizontal="center" vertical="top" wrapText="1"/>
    </x:xf>
    <x:xf numFmtId="200" fontId="7" fillId="3" borderId="6" xfId="0" applyNumberFormat="1" applyFont="1" applyFill="1" applyBorder="1" applyAlignment="1">
      <x:alignment horizontal="center" vertical="top" wrapText="1"/>
    </x:xf>
    <x:xf numFmtId="200" fontId="7" fillId="3" borderId="4" xfId="0" applyNumberFormat="1" applyFont="1" applyFill="1" applyBorder="1" applyAlignment="1">
      <x:alignment vertical="top" wrapText="1"/>
    </x:xf>
    <x:xf numFmtId="200" fontId="7" fillId="3" borderId="5" xfId="0" applyNumberFormat="1" applyFont="1" applyFill="1" applyBorder="1" applyAlignment="1">
      <x:alignment vertical="top" wrapText="1"/>
    </x:xf>
    <x:xf numFmtId="200" fontId="7" fillId="3" borderId="6" xfId="0" applyNumberFormat="1" applyFont="1" applyFill="1" applyBorder="1" applyAlignment="1">
      <x:alignment vertical="top" wrapText="1"/>
    </x:xf>
    <x:xf numFmtId="202" fontId="7" fillId="0" borderId="4" xfId="0" applyNumberFormat="1" applyFont="1" applyFill="1" applyBorder="1" applyAlignment="1">
      <x:alignment vertical="top" wrapText="1"/>
    </x:xf>
    <x:xf numFmtId="202" fontId="7" fillId="0" borderId="5" xfId="0" applyNumberFormat="1" applyFont="1" applyFill="1" applyBorder="1" applyAlignment="1">
      <x:alignment vertical="top" wrapText="1"/>
    </x:xf>
    <x:xf numFmtId="202" fontId="7" fillId="0" borderId="6" xfId="0" applyNumberFormat="1" applyFont="1" applyFill="1" applyBorder="1" applyAlignment="1">
      <x:alignment vertical="top" wrapText="1"/>
    </x:xf>
    <x:xf numFmtId="202" fontId="7" fillId="3" borderId="4" xfId="0" applyNumberFormat="1" applyFont="1" applyFill="1" applyBorder="1" applyAlignment="1">
      <x:alignment vertical="top" wrapText="1"/>
    </x:xf>
    <x:xf numFmtId="202" fontId="7" fillId="3" borderId="5" xfId="0" applyNumberFormat="1" applyFont="1" applyFill="1" applyBorder="1" applyAlignment="1">
      <x:alignment vertical="top" wrapText="1"/>
    </x:xf>
    <x:xf numFmtId="202" fontId="7" fillId="3" borderId="6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203" fontId="7" fillId="4" borderId="4" xfId="0" applyNumberFormat="1" applyFont="1" applyFill="1" applyBorder="1" applyAlignment="1">
      <x:alignment vertical="top" wrapText="1"/>
    </x:xf>
    <x:xf numFmtId="203" fontId="7" fillId="4" borderId="5" xfId="0" applyNumberFormat="1" applyFont="1" applyFill="1" applyBorder="1" applyAlignment="1">
      <x:alignment vertical="top" wrapText="1"/>
    </x:xf>
    <x:xf numFmtId="203" fontId="7" fillId="4" borderId="6" xfId="0" applyNumberFormat="1" applyFont="1" applyFill="1" applyBorder="1" applyAlignment="1">
      <x:alignment vertical="top" wrapText="1"/>
    </x:xf>
    <x:xf numFmtId="202" fontId="7" fillId="4" borderId="4" xfId="0" applyNumberFormat="1" applyFont="1" applyFill="1" applyBorder="1" applyAlignment="1">
      <x:alignment vertical="top" wrapText="1"/>
    </x:xf>
    <x:xf numFmtId="202" fontId="7" fillId="4" borderId="5" xfId="0" applyNumberFormat="1" applyFont="1" applyFill="1" applyBorder="1" applyAlignment="1">
      <x:alignment vertical="top" wrapText="1"/>
    </x:xf>
    <x:xf numFmtId="202" fontId="7" fillId="4" borderId="6" xfId="0" applyNumberFormat="1" applyFont="1" applyFill="1" applyBorder="1" applyAlignment="1">
      <x:alignment vertical="top" wrapText="1"/>
    </x:xf>
    <x:xf numFmtId="203" fontId="7" fillId="0" borderId="4" xfId="0" applyNumberFormat="1" applyFont="1" applyFill="1" applyBorder="1" applyAlignment="1">
      <x:alignment vertical="top" wrapText="1"/>
    </x:xf>
    <x:xf numFmtId="203" fontId="7" fillId="0" borderId="5" xfId="0" applyNumberFormat="1" applyFont="1" applyFill="1" applyBorder="1" applyAlignment="1">
      <x:alignment vertical="top" wrapText="1"/>
    </x:xf>
    <x:xf numFmtId="203" fontId="7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4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F2F4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4CC"/>
        </x:patternFill>
      </x:fill>
    </x:dxf>
    <x:dxf>
      <x:font>
        <x:color rgb="FF595959"/>
      </x:font>
      <x:fill>
        <x:patternFill patternType="solid">
          <x:bgColor rgb="FFF2F4F7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4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F2F4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4CC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4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F2F4F7"/>
        </x:patternFill>
      </x:fill>
    </x:dxf>
    <x:dxf>
      <x:font>
        <x:b/>
        <x:color rgb="FF1B5E20"/>
      </x:font>
      <x:fill>
        <x:patternFill patternType="solid">
          <x:bgColor rgb="FFE2F0D9"/>
        </x:patternFill>
      </x:fill>
    </x:dxf>
    <x:dxf>
      <x:font>
        <x:b/>
        <x:color rgb="FF0B5394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4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9c76931ec4eb1" /><Relationship Type="http://schemas.openxmlformats.org/officeDocument/2006/relationships/theme" Target="/xl/theme/theme1.xml" Id="R8e38ad9198e94ce5" /><Relationship Type="http://schemas.openxmlformats.org/officeDocument/2006/relationships/sharedStrings" Target="/xl/sharedStrings.xml" Id="Rb78d462361444896" /><Relationship Type="http://schemas.openxmlformats.org/officeDocument/2006/relationships/worksheet" Target="/xl/worksheets/sheet1.xml" Id="R8a6d5d55e5624873" /><Relationship Type="http://schemas.openxmlformats.org/officeDocument/2006/relationships/worksheet" Target="/xl/worksheets/sheet2.xml" Id="R1941e29cb6904bc5" /><Relationship Type="http://schemas.openxmlformats.org/officeDocument/2006/relationships/worksheet" Target="/xl/worksheets/sheet3.xml" Id="R8b67413b0e31483f" /><Relationship Type="http://schemas.openxmlformats.org/officeDocument/2006/relationships/worksheet" Target="/xl/worksheets/sheet4.xml" Id="Rd1e4aee3961e4ef8" /><Relationship Type="http://schemas.openxmlformats.org/officeDocument/2006/relationships/worksheet" Target="/xl/worksheets/sheet5.xml" Id="R5c35dcd730a14fd6" /><Relationship Type="http://schemas.openxmlformats.org/officeDocument/2006/relationships/worksheet" Target="/xl/worksheets/sheet6.xml" Id="R810d50bec42b445b" /><Relationship Type="http://schemas.openxmlformats.org/officeDocument/2006/relationships/worksheet" Target="/xl/worksheets/sheet7.xml" Id="Rf3134a17432e40d7" /></Relationships>
</file>

<file path=xl/tables/table1.xml><?xml version="1.0" encoding="utf-8"?>
<x:table xmlns:x="http://schemas.openxmlformats.org/spreadsheetml/2006/main" id="1" name="DailyPlanTable" displayName="DailyPlanTable" ref="A4:Q34" headerRowCount="1" totalsRowCount="0" totalsRowShown="0">
  <x:tableColumns count="17">
    <x:tableColumn id="1" name="日期"/>
    <x:tableColumn id="2" name="天数"/>
    <x:tableColumn id="3" name="阶段"/>
    <x:tableColumn id="4" name="主题"/>
    <x:tableColumn id="5" name="计划学习任务"/>
    <x:tableColumn id="6" name="计划编码任务"/>
    <x:tableColumn id="7" name="求职任务"/>
    <x:tableColumn id="8" name="预计用时（小时）"/>
    <x:tableColumn id="9" name="状态"/>
    <x:tableColumn id="10" name="完成率"/>
    <x:tableColumn id="11" name="实际完成内容"/>
    <x:tableColumn id="12" name="问题/阻碍"/>
    <x:tableColumn id="13" name="面试/笔试题目"/>
    <x:tableColumn id="14" name="新增技能差距"/>
    <x:tableColumn id="15" name="顺延任务"/>
    <x:tableColumn id="16" name="计划调整"/>
    <x:tableColumn id="1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bApplicationsTable" displayName="JobApplicationsTable" ref="A4:N104" headerRowCount="1" totalsRowCount="0" totalsRowShown="0">
  <x:tableColumns count="14">
    <x:tableColumn id="1" name="公司"/>
    <x:tableColumn id="2" name="岗位"/>
    <x:tableColumn id="3" name="JD 链接/来源"/>
    <x:tableColumn id="4" name="JD 关键要求"/>
    <x:tableColumn id="5" name="优先级"/>
    <x:tableColumn id="6" name="发现日期"/>
    <x:tableColumn id="7" name="投递日期"/>
    <x:tableColumn id="8" name="截止日期"/>
    <x:tableColumn id="9" name="状态"/>
    <x:tableColumn id="10" name="笔试日期"/>
    <x:tableColumn id="11" name="面试日期"/>
    <x:tableColumn id="12" name="技能差距"/>
    <x:tableColumn id="13" name="下次跟进日期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killGapsTable" displayName="SkillGapsTable" ref="A4:J31" headerRowCount="1" totalsRowCount="0" totalsRowShown="0">
  <x:tableColumns count="10">
    <x:tableColumn id="1" name="技能"/>
    <x:tableColumn id="2" name="技能类别"/>
    <x:tableColumn id="3" name="当前水平"/>
    <x:tableColumn id="4" name="证据/现状"/>
    <x:tableColumn id="5" name="差距说明"/>
    <x:tableColumn id="6" name="优先级"/>
    <x:tableColumn id="7" name="改进任务"/>
    <x:tableColumn id="8" name="目标日期"/>
    <x:tableColumn id="9" name="状态"/>
    <x:tableColumn id="10" name="完成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viewQuestionsTable" displayName="InterviewQuestionsTable" ref="A4:K34" headerRowCount="1" totalsRowCount="0" totalsRowShown="0">
  <x:tableColumns count="11">
    <x:tableColumn id="1" name="日期"/>
    <x:tableColumn id="2" name="公司/场次"/>
    <x:tableColumn id="3" name="类别"/>
    <x:tableColumn id="4" name="问题"/>
    <x:tableColumn id="5" name="回答情况"/>
    <x:tableColumn id="6" name="问题原因"/>
    <x:tableColumn id="7" name="标准答案要点"/>
    <x:tableColumn id="8" name="后续复习任务"/>
    <x:tableColumn id="9" name="复习日期"/>
    <x:tableColumn id="10" name="状态"/>
    <x:tableColumn id="11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DSkillFrequencyTable" displayName="JDSkillFrequencyTable" ref="A4:I18" headerRowCount="1" totalsRowCount="0" totalsRowShown="0">
  <x:tableColumns count="9">
    <x:tableColumn id="1" name="技能类别"/>
    <x:tableColumn id="2" name="检索关键词"/>
    <x:tableColumn id="3" name="JD 出现次数"/>
    <x:tableColumn id="4" name="JD 样本数"/>
    <x:tableColumn id="5" name="出现比例"/>
    <x:tableColumn id="6" name="当前水平"/>
    <x:tableColumn id="7" name="学习优先级"/>
    <x:tableColumn id="8" name="计划调整建议"/>
    <x:tableColumn id="9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MilestonesTable" displayName="ProjectMilestonesTable" ref="A4:L16" headerRowCount="1" totalsRowCount="0" totalsRowShown="0">
  <x:tableColumns count="12">
    <x:tableColumn id="1" name="编号"/>
    <x:tableColumn id="2" name="里程碑"/>
    <x:tableColumn id="3" name="计划完成日期"/>
    <x:tableColumn id="4" name="交付标准"/>
    <x:tableColumn id="5" name="依赖项"/>
    <x:tableColumn id="6" name="状态"/>
    <x:tableColumn id="7" name="完成率"/>
    <x:tableColumn id="8" name="实际完成日期"/>
    <x:tableColumn id="9" name="实际成果/证据"/>
    <x:tableColumn id="10" name="问题/风险"/>
    <x:tableColumn id="11" name="后续动作"/>
    <x:tableColumn id="12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eeklyReviewTable" displayName="WeeklyReviewTable" ref="A4:P9" headerRowCount="1" totalsRowCount="0" totalsRowShown="0">
  <x:tableColumns count="16">
    <x:tableColumn id="1" name="周期"/>
    <x:tableColumn id="2" name="开始日期"/>
    <x:tableColumn id="3" name="结束日期"/>
    <x:tableColumn id="4" name="计划天数"/>
    <x:tableColumn id="5" name="平均完成率"/>
    <x:tableColumn id="6" name="已完成天数"/>
    <x:tableColumn id="7" name="部分完成天数"/>
    <x:tableColumn id="8" name="投递数"/>
    <x:tableColumn id="9" name="笔试数"/>
    <x:tableColumn id="10" name="面试数"/>
    <x:tableColumn id="11" name="计划里程碑"/>
    <x:tableColumn id="12" name="实际里程碑"/>
    <x:tableColumn id="13" name="主要阻碍"/>
    <x:tableColumn id="14" name="新增技能差距"/>
    <x:tableColumn id="15" name="下周期调整建议"/>
    <x:tableColumn id="16" name="复盘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8755270f3342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1be7f9ea8d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2db411f51943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bdbd2abdbdf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6b609aa392e46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01aae5574d4b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ec3a5dd371e422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24" hidden="0" customWidth="1"/>
    <x:col min="5" max="5" width="48" hidden="0" customWidth="1"/>
    <x:col min="6" max="6" width="50" hidden="0" customWidth="1"/>
    <x:col min="7" max="7" width="44" hidden="0" customWidth="1"/>
    <x:col min="8" max="8" width="14" hidden="0" customWidth="1"/>
    <x:col min="9" max="9" width="14" hidden="0" customWidth="1"/>
    <x:col min="10" max="10" width="11" hidden="0" customWidth="1"/>
    <x:col min="11" max="11" width="42" hidden="0" customWidth="1"/>
    <x:col min="12" max="12" width="34" hidden="0" customWidth="1"/>
    <x:col min="13" max="13" width="34" hidden="0" customWidth="1"/>
    <x:col min="14" max="14" width="30" hidden="0" customWidth="1"/>
    <x:col min="15" max="15" width="32" hidden="0" customWidth="1"/>
    <x:col min="16" max="16" width="38" hidden="0" customWidth="1"/>
    <x:col min="17" max="17" width="30" hidden="0" customWidth="1"/>
  </x:cols>
  <x:sheetData>
    <x:row r="1" ht="24" customHeight="1">
      <x:c r="A1" s="7" t="str">
        <x:v>30天 AI 应用与秋招冲刺计划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 ht="24" customHeight="1">
      <x:c r="A2" s="4" t="str">
        <x:v>更新规则：已完成和过去记录保持原样；只根据实际进度调整未来尚未完成的任务。若 COMP9900 占用显著，保留最小编码任务并优先顺延低价值内容。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 ht="34" customHeight="1">
      <x:c r="A4" s="13" t="str">
        <x:v>日期</x:v>
      </x:c>
      <x:c r="B4" s="14" t="str">
        <x:v>天数</x:v>
      </x:c>
      <x:c r="C4" s="14" t="str">
        <x:v>阶段</x:v>
      </x:c>
      <x:c r="D4" s="14" t="str">
        <x:v>主题</x:v>
      </x:c>
      <x:c r="E4" s="14" t="str">
        <x:v>计划学习任务</x:v>
      </x:c>
      <x:c r="F4" s="14" t="str">
        <x:v>计划编码任务</x:v>
      </x:c>
      <x:c r="G4" s="14" t="str">
        <x:v>求职任务</x:v>
      </x:c>
      <x:c r="H4" s="14" t="str">
        <x:v>预计用时（小时）</x:v>
      </x:c>
      <x:c r="I4" s="14" t="str">
        <x:v>状态</x:v>
      </x:c>
      <x:c r="J4" s="14" t="str">
        <x:v>完成率</x:v>
      </x:c>
      <x:c r="K4" s="14" t="str">
        <x:v>实际完成内容</x:v>
      </x:c>
      <x:c r="L4" s="14" t="str">
        <x:v>问题/阻碍</x:v>
      </x:c>
      <x:c r="M4" s="14" t="str">
        <x:v>面试/笔试题目</x:v>
      </x:c>
      <x:c r="N4" s="14" t="str">
        <x:v>新增技能差距</x:v>
      </x:c>
      <x:c r="O4" s="14" t="str">
        <x:v>顺延任务</x:v>
      </x:c>
      <x:c r="P4" s="14" t="str">
        <x:v>计划调整</x:v>
      </x:c>
      <x:c r="Q4" s="15" t="str">
        <x:v>备注</x:v>
      </x:c>
    </x:row>
    <x:row r="5" ht="70" customHeight="1">
      <x:c r="A5" s="25" t="n">
        <x:v>46281</x:v>
      </x:c>
      <x:c r="B5" s="26" t="str">
        <x:v>第1天</x:v>
      </x:c>
      <x:c r="C5" s="19" t="str">
        <x:v>第1周：LLM 与 RAG 基础</x:v>
      </x:c>
      <x:c r="D5" s="19" t="str">
        <x:v>LLM API 与 Prompt 基础</x:v>
      </x:c>
      <x:c r="E5" s="19" t="str">
        <x:v>理解 LLM API 请求与响应、System/User messages、Temperature、Token 和 Context Window；记录最小调用流程。</x:v>
      </x:c>
      <x:c r="F5" s="19" t="str">
        <x:v>创建 enterprise-knowledge-agent 仓库、Python 环境和基础目录；完成一次 LLM API 调用并保存可运行示例。</x:v>
      </x:c>
      <x:c r="G5" s="19" t="str">
        <x:v>筛选 3–5 个 B/C 级 AI Application 或 Backend+AI 岗位并记录 JD；列出 A 级目标公司。</x:v>
      </x:c>
      <x:c r="H5" s="31" t="n">
        <x:v>5</x:v>
      </x:c>
      <x:c r="I5" s="37" t="str">
        <x:v>未开始</x:v>
      </x:c>
      <x:c r="J5" s="38" t="n">
        <x:v>0</x:v>
      </x:c>
      <x:c r="K5" s="39" t="str"/>
      <x:c r="L5" s="39" t="str"/>
      <x:c r="M5" s="39" t="str"/>
      <x:c r="N5" s="39" t="str"/>
      <x:c r="O5" s="39" t="str"/>
      <x:c r="P5" s="39" t="str"/>
      <x:c r="Q5" s="39" t="str"/>
    </x:row>
    <x:row r="6" ht="70" customHeight="1">
      <x:c r="A6" s="27" t="n">
        <x:v>46282</x:v>
      </x:c>
      <x:c r="B6" s="28" t="str">
        <x:v>第2天</x:v>
      </x:c>
      <x:c r="C6" s="20" t="str">
        <x:v>第1周：LLM 与 RAG 基础</x:v>
      </x:c>
      <x:c r="D6" s="20" t="str">
        <x:v>Structured Output</x:v>
      </x:c>
      <x:c r="E6" s="20" t="str">
        <x:v>学习 Structured Output、Pydantic、JSON Schema 与 Streaming 的用途和边界。</x:v>
      </x:c>
      <x:c r="F6" s="20" t="str">
        <x:v>定义回答数据模型，强制模型输出符合 JSON Schema；增加解析失败处理和一个 Streaming 示例。</x:v>
      </x:c>
      <x:c r="G6" s="20" t="str">
        <x:v>完成 3–5 份高质量投递；把 JD 关键要求和技能差距录入工作簿。</x:v>
      </x:c>
      <x:c r="H6" s="32" t="n">
        <x:v>5</x:v>
      </x:c>
      <x:c r="I6" s="40" t="str">
        <x:v>未开始</x:v>
      </x:c>
      <x:c r="J6" s="41" t="n">
        <x:v>0</x:v>
      </x:c>
      <x:c r="K6" s="42" t="str"/>
      <x:c r="L6" s="42" t="str"/>
      <x:c r="M6" s="42" t="str"/>
      <x:c r="N6" s="42" t="str"/>
      <x:c r="O6" s="42" t="str"/>
      <x:c r="P6" s="42" t="str"/>
      <x:c r="Q6" s="42" t="str"/>
    </x:row>
    <x:row r="7" ht="70" customHeight="1">
      <x:c r="A7" s="27" t="n">
        <x:v>46283</x:v>
      </x:c>
      <x:c r="B7" s="28" t="str">
        <x:v>第3天</x:v>
      </x:c>
      <x:c r="C7" s="20" t="str">
        <x:v>第1周：LLM 与 RAG 基础</x:v>
      </x:c>
      <x:c r="D7" s="20" t="str">
        <x:v>Embedding 与 Cosine Similarity</x:v>
      </x:c>
      <x:c r="E7" s="20" t="str">
        <x:v>理解 Embedding、向量表示、Cosine Similarity 和语义检索的基本原理。</x:v>
      </x:c>
      <x:c r="F7" s="20" t="str">
        <x:v>对一组小型文本生成 Embedding，手写或调用 Cosine Similarity，返回最相关文本。</x:v>
      </x:c>
      <x:c r="G7" s="20" t="str">
        <x:v>完成 3–5 份高质量投递；统计当天 JD 中 Python、RAG、Agent、FastAPI 等关键词。</x:v>
      </x:c>
      <x:c r="H7" s="32" t="n">
        <x:v>4.5</x:v>
      </x:c>
      <x:c r="I7" s="40" t="str">
        <x:v>未开始</x:v>
      </x:c>
      <x:c r="J7" s="41" t="n">
        <x:v>0</x:v>
      </x:c>
      <x:c r="K7" s="42" t="str"/>
      <x:c r="L7" s="42" t="str"/>
      <x:c r="M7" s="42" t="str"/>
      <x:c r="N7" s="42" t="str"/>
      <x:c r="O7" s="42" t="str"/>
      <x:c r="P7" s="42" t="str"/>
      <x:c r="Q7" s="42" t="str"/>
    </x:row>
    <x:row r="8" ht="70" customHeight="1">
      <x:c r="A8" s="27" t="n">
        <x:v>46284</x:v>
      </x:c>
      <x:c r="B8" s="28" t="str">
        <x:v>第4天</x:v>
      </x:c>
      <x:c r="C8" s="20" t="str">
        <x:v>第1周：LLM 与 RAG 基础</x:v>
      </x:c>
      <x:c r="D8" s="20" t="str">
        <x:v>PDF 解析与 Chunking</x:v>
      </x:c>
      <x:c r="E8" s="20" t="str">
        <x:v>学习 PDF parsing、Chunk size、Chunk overlap、Metadata 及其对召回的影响。</x:v>
      </x:c>
      <x:c r="F8" s="20" t="str">
        <x:v>实现 PDF 到 chunks 与 metadata 的流程；保留页码、文件名和 chunk 标识。</x:v>
      </x:c>
      <x:c r="G8" s="20" t="str">
        <x:v>筛选并投递 2–3 个高匹配岗位；为 1 个 A 级岗位做 JD 差距分析。</x:v>
      </x:c>
      <x:c r="H8" s="32" t="n">
        <x:v>5</x:v>
      </x:c>
      <x:c r="I8" s="40" t="str">
        <x:v>未开始</x:v>
      </x:c>
      <x:c r="J8" s="41" t="n">
        <x:v>0</x:v>
      </x:c>
      <x:c r="K8" s="42" t="str"/>
      <x:c r="L8" s="42" t="str"/>
      <x:c r="M8" s="42" t="str"/>
      <x:c r="N8" s="42" t="str"/>
      <x:c r="O8" s="42" t="str"/>
      <x:c r="P8" s="42" t="str"/>
      <x:c r="Q8" s="42" t="str"/>
    </x:row>
    <x:row r="9" ht="70" customHeight="1">
      <x:c r="A9" s="27" t="n">
        <x:v>46285</x:v>
      </x:c>
      <x:c r="B9" s="28" t="str">
        <x:v>第5天</x:v>
      </x:c>
      <x:c r="C9" s="20" t="str">
        <x:v>第1周：LLM 与 RAG 基础</x:v>
      </x:c>
      <x:c r="D9" s="20" t="str">
        <x:v>FAISS 与 Top-K 检索</x:v>
      </x:c>
      <x:c r="E9" s="20" t="str">
        <x:v>学习 Vector Database、FAISS 索引、Top-K 和基础 metadata filtering。</x:v>
      </x:c>
      <x:c r="F9" s="20" t="str">
        <x:v>将 chunks 写入 FAISS；实现 Query → Embedding → Top-K chunks，并打印相似度与来源。</x:v>
      </x:c>
      <x:c r="G9" s="20" t="str">
        <x:v>完成 2–3 份高质量投递；复查本周投递状态和截止日期。</x:v>
      </x:c>
      <x:c r="H9" s="32" t="n">
        <x:v>5</x:v>
      </x:c>
      <x:c r="I9" s="40" t="str">
        <x:v>未开始</x:v>
      </x:c>
      <x:c r="J9" s="41" t="n">
        <x:v>0</x:v>
      </x:c>
      <x:c r="K9" s="42" t="str"/>
      <x:c r="L9" s="42" t="str"/>
      <x:c r="M9" s="42" t="str"/>
      <x:c r="N9" s="42" t="str"/>
      <x:c r="O9" s="42" t="str"/>
      <x:c r="P9" s="42" t="str"/>
      <x:c r="Q9" s="42" t="str"/>
    </x:row>
    <x:row r="10" ht="70" customHeight="1">
      <x:c r="A10" s="27" t="n">
        <x:v>46286</x:v>
      </x:c>
      <x:c r="B10" s="28" t="str">
        <x:v>第6天</x:v>
      </x:c>
      <x:c r="C10" s="20" t="str">
        <x:v>第1周：LLM 与 RAG 基础</x:v>
      </x:c>
      <x:c r="D10" s="20" t="str">
        <x:v>完整 RAG Pipeline</x:v>
      </x:c>
      <x:c r="E10" s="20" t="str">
        <x:v>串联 Document parsing、Chunking、Embedding、Retrieval、Prompt 和 LLM answer。</x:v>
      </x:c>
      <x:c r="F10" s="20" t="str">
        <x:v>实现 PDF → Chunk → Embedding → Retrieve → LLM → Answer 的可运行 RAG V1。</x:v>
      </x:c>
      <x:c r="G10" s="20" t="str">
        <x:v>完成 3–5 份高质量投递；跟进已投岗位并记录笔试或面试安排。</x:v>
      </x:c>
      <x:c r="H10" s="32" t="n">
        <x:v>6</x:v>
      </x:c>
      <x:c r="I10" s="40" t="str">
        <x:v>未开始</x:v>
      </x:c>
      <x:c r="J10" s="41" t="n">
        <x:v>0</x:v>
      </x:c>
      <x:c r="K10" s="42" t="str"/>
      <x:c r="L10" s="42" t="str"/>
      <x:c r="M10" s="42" t="str"/>
      <x:c r="N10" s="42" t="str"/>
      <x:c r="O10" s="42" t="str"/>
      <x:c r="P10" s="42" t="str"/>
      <x:c r="Q10" s="42" t="str"/>
    </x:row>
    <x:row r="11" ht="70" customHeight="1">
      <x:c r="A11" s="27" t="n">
        <x:v>46287</x:v>
      </x:c>
      <x:c r="B11" s="28" t="str">
        <x:v>第7天</x:v>
      </x:c>
      <x:c r="C11" s="20" t="str">
        <x:v>第1周：LLM 与 RAG 基础</x:v>
      </x:c>
      <x:c r="D11" s="20" t="str">
        <x:v>Citation 与 RAG 失败模式</x:v>
      </x:c>
      <x:c r="E11" s="20" t="str">
        <x:v>学习 Citation、Prompt 优化及检索失败、上下文污染、幻觉等常见问题。</x:v>
      </x:c>
      <x:c r="F11" s="20" t="str">
        <x:v>为 RAG V1 增加文档名、页码或 chunk 引用；用 5 个问题检查回答是否有来源支持。</x:v>
      </x:c>
      <x:c r="G11" s="20" t="str">
        <x:v>完成 3–5 份高质量投递；完成第1周复盘并确认下一周最关键顺延项。</x:v>
      </x:c>
      <x:c r="H11" s="32" t="n">
        <x:v>5</x:v>
      </x:c>
      <x:c r="I11" s="40" t="str">
        <x:v>未开始</x:v>
      </x:c>
      <x:c r="J11" s="41" t="n">
        <x:v>0</x:v>
      </x:c>
      <x:c r="K11" s="42" t="str"/>
      <x:c r="L11" s="42" t="str"/>
      <x:c r="M11" s="42" t="str"/>
      <x:c r="N11" s="42" t="str"/>
      <x:c r="O11" s="42" t="str"/>
      <x:c r="P11" s="42" t="str"/>
      <x:c r="Q11" s="42" t="str"/>
    </x:row>
    <x:row r="12" ht="70" customHeight="1">
      <x:c r="A12" s="27" t="n">
        <x:v>46288</x:v>
      </x:c>
      <x:c r="B12" s="28" t="str">
        <x:v>第8天</x:v>
      </x:c>
      <x:c r="C12" s="20" t="str">
        <x:v>第2周：Tool Calling、Agent 与 LangGraph</x:v>
      </x:c>
      <x:c r="D12" s="20" t="str">
        <x:v>Function Calling 与 Tool Calling</x:v>
      </x:c>
      <x:c r="E12" s="20" t="str">
        <x:v>理解工具 schema、参数校验、工具结果回传和失败处理。</x:v>
      </x:c>
      <x:c r="F12" s="20" t="str">
        <x:v>实现 Calculator Tool；让 LLM 生成工具参数并将结果带回最终回答。</x:v>
      </x:c>
      <x:c r="G12" s="20" t="str">
        <x:v>完成 3–5 份高质量投递；优先选择明确要求 Tool Calling、RAG 或 Agent 的岗位。</x:v>
      </x:c>
      <x:c r="H12" s="32" t="n">
        <x:v>4.5</x:v>
      </x:c>
      <x:c r="I12" s="40" t="str">
        <x:v>未开始</x:v>
      </x:c>
      <x:c r="J12" s="41" t="n">
        <x:v>0</x:v>
      </x:c>
      <x:c r="K12" s="42" t="str"/>
      <x:c r="L12" s="42" t="str"/>
      <x:c r="M12" s="42" t="str"/>
      <x:c r="N12" s="42" t="str"/>
      <x:c r="O12" s="42" t="str"/>
      <x:c r="P12" s="42" t="str"/>
      <x:c r="Q12" s="42" t="str"/>
    </x:row>
    <x:row r="13" ht="70" customHeight="1">
      <x:c r="A13" s="27" t="n">
        <x:v>46289</x:v>
      </x:c>
      <x:c r="B13" s="28" t="str">
        <x:v>第9天</x:v>
      </x:c>
      <x:c r="C13" s="20" t="str">
        <x:v>第2周：Tool Calling、Agent 与 LangGraph</x:v>
      </x:c>
      <x:c r="D13" s="20" t="str">
        <x:v>Agent、ReAct 与 Agent Loop</x:v>
      </x:c>
      <x:c r="E13" s="20" t="str">
        <x:v>理解 Agent、ReAct、Thought/Action/Observation 循环及停止条件。</x:v>
      </x:c>
      <x:c r="F13" s="20" t="str">
        <x:v>实现能自行判断是否调用工具的 Agent loop；设置最大步数和异常退出。</x:v>
      </x:c>
      <x:c r="G13" s="20" t="str">
        <x:v>完成 3–5 份高质量投递；记录真实笔试或面试中出现的 Agent 问题。</x:v>
      </x:c>
      <x:c r="H13" s="32" t="n">
        <x:v>5</x:v>
      </x:c>
      <x:c r="I13" s="40" t="str">
        <x:v>未开始</x:v>
      </x:c>
      <x:c r="J13" s="41" t="n">
        <x:v>0</x:v>
      </x:c>
      <x:c r="K13" s="42" t="str"/>
      <x:c r="L13" s="42" t="str"/>
      <x:c r="M13" s="42" t="str"/>
      <x:c r="N13" s="42" t="str"/>
      <x:c r="O13" s="42" t="str"/>
      <x:c r="P13" s="42" t="str"/>
      <x:c r="Q13" s="42" t="str"/>
    </x:row>
    <x:row r="14" ht="70" customHeight="1">
      <x:c r="A14" s="27" t="n">
        <x:v>46290</x:v>
      </x:c>
      <x:c r="B14" s="28" t="str">
        <x:v>第10天</x:v>
      </x:c>
      <x:c r="C14" s="20" t="str">
        <x:v>第2周：Tool Calling、Agent 与 LangGraph</x:v>
      </x:c>
      <x:c r="D14" s="20" t="str">
        <x:v>LangGraph State、Node、Edge</x:v>
      </x:c>
      <x:c r="E14" s="20" t="str">
        <x:v>学习 LangGraph 的 State、Node、Edge 和状态更新方式。</x:v>
      </x:c>
      <x:c r="F14" s="20" t="str">
        <x:v>创建第一个双节点图，输出可观察的状态变化和执行路径。</x:v>
      </x:c>
      <x:c r="G14" s="20" t="str">
        <x:v>完成 3–5 份高质量投递；复查 A 级岗位截止日期并决定申请顺序。</x:v>
      </x:c>
      <x:c r="H14" s="32" t="n">
        <x:v>5</x:v>
      </x:c>
      <x:c r="I14" s="40" t="str">
        <x:v>未开始</x:v>
      </x:c>
      <x:c r="J14" s="41" t="n">
        <x:v>0</x:v>
      </x:c>
      <x:c r="K14" s="42" t="str"/>
      <x:c r="L14" s="42" t="str"/>
      <x:c r="M14" s="42" t="str"/>
      <x:c r="N14" s="42" t="str"/>
      <x:c r="O14" s="42" t="str"/>
      <x:c r="P14" s="42" t="str"/>
      <x:c r="Q14" s="42" t="str"/>
    </x:row>
    <x:row r="15" ht="70" customHeight="1">
      <x:c r="A15" s="27" t="n">
        <x:v>46291</x:v>
      </x:c>
      <x:c r="B15" s="28" t="str">
        <x:v>第11天</x:v>
      </x:c>
      <x:c r="C15" s="20" t="str">
        <x:v>第2周：Tool Calling、Agent 与 LangGraph</x:v>
      </x:c>
      <x:c r="D15" s="20" t="str">
        <x:v>Conditional Edge 与 Router</x:v>
      </x:c>
      <x:c r="E15" s="20" t="str">
        <x:v>学习 Conditional Edge、Router 和 Agent vs Workflow 的区别。</x:v>
      </x:c>
      <x:c r="F15" s="20" t="str">
        <x:v>实现将问题路由到 RAG 或普通 LLM 的 LangGraph 流程，并覆盖两条路径测试。</x:v>
      </x:c>
      <x:c r="G15" s="20" t="str">
        <x:v>筛选并投递 2–3 个高匹配岗位；针对 1 个 A 级岗位补充项目证据。</x:v>
      </x:c>
      <x:c r="H15" s="32" t="n">
        <x:v>5</x:v>
      </x:c>
      <x:c r="I15" s="40" t="str">
        <x:v>未开始</x:v>
      </x:c>
      <x:c r="J15" s="41" t="n">
        <x:v>0</x:v>
      </x:c>
      <x:c r="K15" s="42" t="str"/>
      <x:c r="L15" s="42" t="str"/>
      <x:c r="M15" s="42" t="str"/>
      <x:c r="N15" s="42" t="str"/>
      <x:c r="O15" s="42" t="str"/>
      <x:c r="P15" s="42" t="str"/>
      <x:c r="Q15" s="42" t="str"/>
    </x:row>
    <x:row r="16" ht="70" customHeight="1">
      <x:c r="A16" s="27" t="n">
        <x:v>46292</x:v>
      </x:c>
      <x:c r="B16" s="28" t="str">
        <x:v>第12天</x:v>
      </x:c>
      <x:c r="C16" s="20" t="str">
        <x:v>第2周：Tool Calling、Agent 与 LangGraph</x:v>
      </x:c>
      <x:c r="D16" s="20" t="str">
        <x:v>SQL Tool</x:v>
      </x:c>
      <x:c r="E16" s="20" t="str">
        <x:v>复习 SQL Tool 的 schema 暴露、只读约束、参数化查询和结果摘要。</x:v>
      </x:c>
      <x:c r="F16" s="20" t="str">
        <x:v>连接 SQLite 或 PostgreSQL，完成受限只读查询工具并验证至少 3 个查询。</x:v>
      </x:c>
      <x:c r="G16" s="20" t="str">
        <x:v>完成 2–3 份高质量投递；把 JD 中 SQL、PostgreSQL、数据工具要求加入频次表。</x:v>
      </x:c>
      <x:c r="H16" s="32" t="n">
        <x:v>5</x:v>
      </x:c>
      <x:c r="I16" s="40" t="str">
        <x:v>未开始</x:v>
      </x:c>
      <x:c r="J16" s="41" t="n">
        <x:v>0</x:v>
      </x:c>
      <x:c r="K16" s="42" t="str"/>
      <x:c r="L16" s="42" t="str"/>
      <x:c r="M16" s="42" t="str"/>
      <x:c r="N16" s="42" t="str"/>
      <x:c r="O16" s="42" t="str"/>
      <x:c r="P16" s="42" t="str"/>
      <x:c r="Q16" s="42" t="str"/>
    </x:row>
    <x:row r="17" ht="70" customHeight="1">
      <x:c r="A17" s="27" t="n">
        <x:v>46293</x:v>
      </x:c>
      <x:c r="B17" s="28" t="str">
        <x:v>第13天</x:v>
      </x:c>
      <x:c r="C17" s="20" t="str">
        <x:v>第2周：Tool Calling、Agent 与 LangGraph</x:v>
      </x:c>
      <x:c r="D17" s="20" t="str">
        <x:v>Memory 与 Checkpoint</x:v>
      </x:c>
      <x:c r="E17" s="20" t="str">
        <x:v>学习短期 Memory、Checkpoint、Multi-turn context 及上下文长度风险。</x:v>
      </x:c>
      <x:c r="F17" s="20" t="str">
        <x:v>为 Agent 增加会话状态，使其在多轮对话中保留必要上下文。</x:v>
      </x:c>
      <x:c r="G17" s="20" t="str">
        <x:v>完成 3–5 份高质量投递；跟进本周笔试和面试安排。</x:v>
      </x:c>
      <x:c r="H17" s="32" t="n">
        <x:v>4.5</x:v>
      </x:c>
      <x:c r="I17" s="40" t="str">
        <x:v>未开始</x:v>
      </x:c>
      <x:c r="J17" s="41" t="n">
        <x:v>0</x:v>
      </x:c>
      <x:c r="K17" s="42" t="str"/>
      <x:c r="L17" s="42" t="str"/>
      <x:c r="M17" s="42" t="str"/>
      <x:c r="N17" s="42" t="str"/>
      <x:c r="O17" s="42" t="str"/>
      <x:c r="P17" s="42" t="str"/>
      <x:c r="Q17" s="42" t="str"/>
    </x:row>
    <x:row r="18" ht="70" customHeight="1">
      <x:c r="A18" s="27" t="n">
        <x:v>46294</x:v>
      </x:c>
      <x:c r="B18" s="28" t="str">
        <x:v>第14天</x:v>
      </x:c>
      <x:c r="C18" s="20" t="str">
        <x:v>第2周：Tool Calling、Agent 与 LangGraph</x:v>
      </x:c>
      <x:c r="D18" s="20" t="str">
        <x:v>多工具 Agent 集成</x:v>
      </x:c>
      <x:c r="E18" s="20" t="str">
        <x:v>复盘 Router、Tool selection、错误处理、循环控制和工具返回格式。</x:v>
      </x:c>
      <x:c r="F18" s="20" t="str">
        <x:v>集成 RAG、SQL、Calculator 三类工具；完成多工具端到端演示和最小回归测试。</x:v>
      </x:c>
      <x:c r="G18" s="20" t="str">
        <x:v>完成 3–5 份高质量投递；完成第2周复盘，只在项目可运行后准备 Resume V2 表述。</x:v>
      </x:c>
      <x:c r="H18" s="32" t="n">
        <x:v>6</x:v>
      </x:c>
      <x:c r="I18" s="40" t="str">
        <x:v>未开始</x:v>
      </x:c>
      <x:c r="J18" s="41" t="n">
        <x:v>0</x:v>
      </x:c>
      <x:c r="K18" s="42" t="str"/>
      <x:c r="L18" s="42" t="str"/>
      <x:c r="M18" s="42" t="str"/>
      <x:c r="N18" s="42" t="str"/>
      <x:c r="O18" s="42" t="str"/>
      <x:c r="P18" s="42" t="str"/>
      <x:c r="Q18" s="42" t="str"/>
    </x:row>
    <x:row r="19" ht="70" customHeight="1">
      <x:c r="A19" s="27" t="n">
        <x:v>46295</x:v>
      </x:c>
      <x:c r="B19" s="28" t="str">
        <x:v>第15天</x:v>
      </x:c>
      <x:c r="C19" s="20" t="str">
        <x:v>第3周：工程化与检索增强</x:v>
      </x:c>
      <x:c r="D19" s="20" t="str">
        <x:v>FastAPI</x:v>
      </x:c>
      <x:c r="E19" s="20" t="str">
        <x:v>学习 FastAPI、Pydantic 请求模型、async 基础、异常处理和 API 文档。</x:v>
      </x:c>
      <x:c r="F19" s="20" t="str">
        <x:v>实现 /chat 与 /upload；接入当前 Agent/RAG 流程并验证错误响应。</x:v>
      </x:c>
      <x:c r="G19" s="20" t="str">
        <x:v>完成 3–5 份高质量投递；对要求 FastAPI/Backend 的岗位做定向申请。</x:v>
      </x:c>
      <x:c r="H19" s="32" t="n">
        <x:v>5</x:v>
      </x:c>
      <x:c r="I19" s="40" t="str">
        <x:v>未开始</x:v>
      </x:c>
      <x:c r="J19" s="41" t="n">
        <x:v>0</x:v>
      </x:c>
      <x:c r="K19" s="42" t="str"/>
      <x:c r="L19" s="42" t="str"/>
      <x:c r="M19" s="42" t="str"/>
      <x:c r="N19" s="42" t="str"/>
      <x:c r="O19" s="42" t="str"/>
      <x:c r="P19" s="42" t="str"/>
      <x:c r="Q19" s="42" t="str"/>
    </x:row>
    <x:row r="20" ht="70" customHeight="1">
      <x:c r="A20" s="27" t="n">
        <x:v>46296</x:v>
      </x:c>
      <x:c r="B20" s="28" t="str">
        <x:v>第16天</x:v>
      </x:c>
      <x:c r="C20" s="20" t="str">
        <x:v>第3周：工程化与检索增强</x:v>
      </x:c>
      <x:c r="D20" s="20" t="str">
        <x:v>React 与 FastAPI 集成</x:v>
      </x:c>
      <x:c r="E20" s="20" t="str">
        <x:v>复习前后端协议、CORS、Streaming 交互和基本加载/错误状态。</x:v>
      </x:c>
      <x:c r="F20" s="20" t="str">
        <x:v>完成可用的 React chat 界面并连接 FastAPI；支持提交问题和显示来源。</x:v>
      </x:c>
      <x:c r="G20" s="20" t="str">
        <x:v>完成 3–5 份高质量投递；在项目已有证据时更新简历项目描述。</x:v>
      </x:c>
      <x:c r="H20" s="32" t="n">
        <x:v>5</x:v>
      </x:c>
      <x:c r="I20" s="40" t="str">
        <x:v>未开始</x:v>
      </x:c>
      <x:c r="J20" s="41" t="n">
        <x:v>0</x:v>
      </x:c>
      <x:c r="K20" s="42" t="str"/>
      <x:c r="L20" s="42" t="str"/>
      <x:c r="M20" s="42" t="str"/>
      <x:c r="N20" s="42" t="str"/>
      <x:c r="O20" s="42" t="str"/>
      <x:c r="P20" s="42" t="str"/>
      <x:c r="Q20" s="42" t="str"/>
    </x:row>
    <x:row r="21" ht="70" customHeight="1">
      <x:c r="A21" s="27" t="n">
        <x:v>46297</x:v>
      </x:c>
      <x:c r="B21" s="28" t="str">
        <x:v>第17天</x:v>
      </x:c>
      <x:c r="C21" s="20" t="str">
        <x:v>第3周：工程化与检索增强</x:v>
      </x:c>
      <x:c r="D21" s="20" t="str">
        <x:v>PostgreSQL 与 pgvector</x:v>
      </x:c>
      <x:c r="E21" s="20" t="str">
        <x:v>学习 PostgreSQL、pgvector、持久化索引、连接管理和基础迁移概念。</x:v>
      </x:c>
      <x:c r="F21" s="20" t="str">
        <x:v>设计并实现最小持久化方案；如环境受限，至少完成 schema、插入、检索和迁移记录。</x:v>
      </x:c>
      <x:c r="G21" s="20" t="str">
        <x:v>完成 3–5 份高质量投递；记录 JD 对 PostgreSQL、pgvector、Vector DB 的真实要求。</x:v>
      </x:c>
      <x:c r="H21" s="32" t="n">
        <x:v>4.5</x:v>
      </x:c>
      <x:c r="I21" s="40" t="str">
        <x:v>未开始</x:v>
      </x:c>
      <x:c r="J21" s="41" t="n">
        <x:v>0</x:v>
      </x:c>
      <x:c r="K21" s="42" t="str"/>
      <x:c r="L21" s="42" t="str"/>
      <x:c r="M21" s="42" t="str"/>
      <x:c r="N21" s="42" t="str"/>
      <x:c r="O21" s="42" t="str"/>
      <x:c r="P21" s="42" t="str"/>
      <x:c r="Q21" s="42" t="str"/>
    </x:row>
    <x:row r="22" ht="70" customHeight="1">
      <x:c r="A22" s="27" t="n">
        <x:v>46298</x:v>
      </x:c>
      <x:c r="B22" s="28" t="str">
        <x:v>第18天</x:v>
      </x:c>
      <x:c r="C22" s="20" t="str">
        <x:v>第3周：工程化与检索增强</x:v>
      </x:c>
      <x:c r="D22" s="20" t="str">
        <x:v>BM25 与 Hybrid Search</x:v>
      </x:c>
      <x:c r="E22" s="20" t="str">
        <x:v>比较 BM25、Semantic Search 和 Hybrid Search 的适用场景。</x:v>
      </x:c>
      <x:c r="F22" s="20" t="str">
        <x:v>在同一小型 QA 集上比较关键词检索与向量检索；实现最小 Hybrid Search 合并策略。</x:v>
      </x:c>
      <x:c r="G22" s="20" t="str">
        <x:v>筛选并投递 2–3 个高匹配岗位；跟进临近截止的 A/B 级岗位。</x:v>
      </x:c>
      <x:c r="H22" s="32" t="n">
        <x:v>5</x:v>
      </x:c>
      <x:c r="I22" s="40" t="str">
        <x:v>未开始</x:v>
      </x:c>
      <x:c r="J22" s="41" t="n">
        <x:v>0</x:v>
      </x:c>
      <x:c r="K22" s="42" t="str"/>
      <x:c r="L22" s="42" t="str"/>
      <x:c r="M22" s="42" t="str"/>
      <x:c r="N22" s="42" t="str"/>
      <x:c r="O22" s="42" t="str"/>
      <x:c r="P22" s="42" t="str"/>
      <x:c r="Q22" s="42" t="str"/>
    </x:row>
    <x:row r="23" ht="70" customHeight="1">
      <x:c r="A23" s="27" t="n">
        <x:v>46299</x:v>
      </x:c>
      <x:c r="B23" s="28" t="str">
        <x:v>第19天</x:v>
      </x:c>
      <x:c r="C23" s="20" t="str">
        <x:v>第3周：工程化与检索增强</x:v>
      </x:c>
      <x:c r="D23" s="20" t="str">
        <x:v>Reranker</x:v>
      </x:c>
      <x:c r="E23" s="20" t="str">
        <x:v>理解候选召回、Reranking、上下文预算和延迟权衡。</x:v>
      </x:c>
      <x:c r="F23" s="20" t="str">
        <x:v>实现 Vector Retrieval → Reranking → Context；保留未 rerank 的结果用于对比。</x:v>
      </x:c>
      <x:c r="G23" s="20" t="str">
        <x:v>完成 2–3 份高质量投递；把 Reranker 需求计入 JD 频次。</x:v>
      </x:c>
      <x:c r="H23" s="32" t="n">
        <x:v>4.5</x:v>
      </x:c>
      <x:c r="I23" s="40" t="str">
        <x:v>未开始</x:v>
      </x:c>
      <x:c r="J23" s="41" t="n">
        <x:v>0</x:v>
      </x:c>
      <x:c r="K23" s="42" t="str"/>
      <x:c r="L23" s="42" t="str"/>
      <x:c r="M23" s="42" t="str"/>
      <x:c r="N23" s="42" t="str"/>
      <x:c r="O23" s="42" t="str"/>
      <x:c r="P23" s="42" t="str"/>
      <x:c r="Q23" s="42" t="str"/>
    </x:row>
    <x:row r="24" ht="70" customHeight="1">
      <x:c r="A24" s="27" t="n">
        <x:v>46300</x:v>
      </x:c>
      <x:c r="B24" s="28" t="str">
        <x:v>第20天</x:v>
      </x:c>
      <x:c r="C24" s="20" t="str">
        <x:v>第3周：工程化与检索增强</x:v>
      </x:c>
      <x:c r="D24" s="20" t="str">
        <x:v>RAG Evaluation</x:v>
      </x:c>
      <x:c r="E24" s="20" t="str">
        <x:v>学习检索评测、答案质量、Groundedness 和延迟等基本评测维度。</x:v>
      </x:c>
      <x:c r="F24" s="20" t="str">
        <x:v>建立 20–30 条 QA 测试集；记录可重复的评测方法和真实测量结果，不填写虚构指标。</x:v>
      </x:c>
      <x:c r="G24" s="20" t="str">
        <x:v>完成 3–5 份高质量投递；从真实 JD 和面试反馈选择评测重点。</x:v>
      </x:c>
      <x:c r="H24" s="32" t="n">
        <x:v>5</x:v>
      </x:c>
      <x:c r="I24" s="40" t="str">
        <x:v>未开始</x:v>
      </x:c>
      <x:c r="J24" s="41" t="n">
        <x:v>0</x:v>
      </x:c>
      <x:c r="K24" s="42" t="str"/>
      <x:c r="L24" s="42" t="str"/>
      <x:c r="M24" s="42" t="str"/>
      <x:c r="N24" s="42" t="str"/>
      <x:c r="O24" s="42" t="str"/>
      <x:c r="P24" s="42" t="str"/>
      <x:c r="Q24" s="42" t="str"/>
    </x:row>
    <x:row r="25" ht="70" customHeight="1">
      <x:c r="A25" s="27" t="n">
        <x:v>46301</x:v>
      </x:c>
      <x:c r="B25" s="28" t="str">
        <x:v>第21天</x:v>
      </x:c>
      <x:c r="C25" s="20" t="str">
        <x:v>第3周：工程化与检索增强</x:v>
      </x:c>
      <x:c r="D25" s="20" t="str">
        <x:v>Docker 与项目文档</x:v>
      </x:c>
      <x:c r="E25" s="20" t="str">
        <x:v>学习 Docker、环境变量、依赖锁定、启动流程和架构说明。</x:v>
      </x:c>
      <x:c r="F25" s="20" t="str">
        <x:v>完成 GitHub 项目 V2：Docker 基础、README、Setup instructions、架构图和可复现演示。</x:v>
      </x:c>
      <x:c r="G25" s="20" t="str">
        <x:v>完成 3–5 份高质量投递；完成第3周复盘并整理可用于简历的真实项目证据。</x:v>
      </x:c>
      <x:c r="H25" s="32" t="n">
        <x:v>5.5</x:v>
      </x:c>
      <x:c r="I25" s="40" t="str">
        <x:v>未开始</x:v>
      </x:c>
      <x:c r="J25" s="41" t="n">
        <x:v>0</x:v>
      </x:c>
      <x:c r="K25" s="42" t="str"/>
      <x:c r="L25" s="42" t="str"/>
      <x:c r="M25" s="42" t="str"/>
      <x:c r="N25" s="42" t="str"/>
      <x:c r="O25" s="42" t="str"/>
      <x:c r="P25" s="42" t="str"/>
      <x:c r="Q25" s="42" t="str"/>
    </x:row>
    <x:row r="26" ht="70" customHeight="1">
      <x:c r="A26" s="27" t="n">
        <x:v>46302</x:v>
      </x:c>
      <x:c r="B26" s="28" t="str">
        <x:v>第22天</x:v>
      </x:c>
      <x:c r="C26" s="20" t="str">
        <x:v>第4周：面试重点复习</x:v>
      </x:c>
      <x:c r="D26" s="20" t="str">
        <x:v>Transformer 与 LLM 基础</x:v>
      </x:c>
      <x:c r="E26" s="20" t="str">
        <x:v>复习 Transformer、Attention、Embedding、Token、Context Window、Temperature 和 Top-p。</x:v>
      </x:c>
      <x:c r="F26" s="20" t="str">
        <x:v>结合项目写出 5 分钟技术讲解，并用项目示例解释 Embedding 与 Context Window。</x:v>
      </x:c>
      <x:c r="G26" s="20" t="str">
        <x:v>完成 3–5 份高质量投递；优先处理真实笔试或面试截止事项。</x:v>
      </x:c>
      <x:c r="H26" s="32" t="n">
        <x:v>4</x:v>
      </x:c>
      <x:c r="I26" s="40" t="str">
        <x:v>未开始</x:v>
      </x:c>
      <x:c r="J26" s="41" t="n">
        <x:v>0</x:v>
      </x:c>
      <x:c r="K26" s="42" t="str"/>
      <x:c r="L26" s="42" t="str"/>
      <x:c r="M26" s="42" t="str"/>
      <x:c r="N26" s="42" t="str"/>
      <x:c r="O26" s="42" t="str"/>
      <x:c r="P26" s="42" t="str"/>
      <x:c r="Q26" s="42" t="str"/>
    </x:row>
    <x:row r="27" ht="70" customHeight="1">
      <x:c r="A27" s="27" t="n">
        <x:v>46303</x:v>
      </x:c>
      <x:c r="B27" s="28" t="str">
        <x:v>第23天</x:v>
      </x:c>
      <x:c r="C27" s="20" t="str">
        <x:v>第4周：面试重点复习</x:v>
      </x:c>
      <x:c r="D27" s="20" t="str">
        <x:v>RAG 面试题</x:v>
      </x:c>
      <x:c r="E27" s="20" t="str">
        <x:v>系统复习 RAG architecture、Chunking、Top-K、Metadata filtering、Hybrid Search、Reranker 和 Evaluation。</x:v>
      </x:c>
      <x:c r="F27" s="20" t="str">
        <x:v>口述回答 RAG 题库并回到代码定位实现；修复无法解释或无法演示的环节。</x:v>
      </x:c>
      <x:c r="G27" s="20" t="str">
        <x:v>完成 3–5 份高质量投递；将真实 RAG 问题录入面试题表。</x:v>
      </x:c>
      <x:c r="H27" s="32" t="n">
        <x:v>4.5</x:v>
      </x:c>
      <x:c r="I27" s="40" t="str">
        <x:v>未开始</x:v>
      </x:c>
      <x:c r="J27" s="41" t="n">
        <x:v>0</x:v>
      </x:c>
      <x:c r="K27" s="42" t="str"/>
      <x:c r="L27" s="42" t="str"/>
      <x:c r="M27" s="42" t="str"/>
      <x:c r="N27" s="42" t="str"/>
      <x:c r="O27" s="42" t="str"/>
      <x:c r="P27" s="42" t="str"/>
      <x:c r="Q27" s="42" t="str"/>
    </x:row>
    <x:row r="28" ht="70" customHeight="1">
      <x:c r="A28" s="27" t="n">
        <x:v>46304</x:v>
      </x:c>
      <x:c r="B28" s="28" t="str">
        <x:v>第24天</x:v>
      </x:c>
      <x:c r="C28" s="20" t="str">
        <x:v>第4周：面试重点复习</x:v>
      </x:c>
      <x:c r="D28" s="20" t="str">
        <x:v>Agent 面试题</x:v>
      </x:c>
      <x:c r="E28" s="20" t="str">
        <x:v>复习 Agent、ReAct、Tool Calling、Memory、Agent vs Workflow 和循环控制。</x:v>
      </x:c>
      <x:c r="F28" s="20" t="str">
        <x:v>完成一轮 Agent 白板讲解和工具失败演练；补齐停止条件、重试和错误路径测试。</x:v>
      </x:c>
      <x:c r="G28" s="20" t="str">
        <x:v>完成 3–5 份高质量投递；根据岗位要求调整项目介绍重点。</x:v>
      </x:c>
      <x:c r="H28" s="32" t="n">
        <x:v>4.5</x:v>
      </x:c>
      <x:c r="I28" s="40" t="str">
        <x:v>未开始</x:v>
      </x:c>
      <x:c r="J28" s="41" t="n">
        <x:v>0</x:v>
      </x:c>
      <x:c r="K28" s="42" t="str"/>
      <x:c r="L28" s="42" t="str"/>
      <x:c r="M28" s="42" t="str"/>
      <x:c r="N28" s="42" t="str"/>
      <x:c r="O28" s="42" t="str"/>
      <x:c r="P28" s="42" t="str"/>
      <x:c r="Q28" s="42" t="str"/>
    </x:row>
    <x:row r="29" ht="70" customHeight="1">
      <x:c r="A29" s="27" t="n">
        <x:v>46305</x:v>
      </x:c>
      <x:c r="B29" s="28" t="str">
        <x:v>第25天</x:v>
      </x:c>
      <x:c r="C29" s="20" t="str">
        <x:v>第4周：面试重点复习</x:v>
      </x:c>
      <x:c r="D29" s="20" t="str">
        <x:v>Python、FastAPI 与 Web 基础</x:v>
      </x:c>
      <x:c r="E29" s="20" t="str">
        <x:v>复习 Python、FastAPI、async/await、HTTP、REST API、并发和常见错误码。</x:v>
      </x:c>
      <x:c r="F29" s="20" t="str">
        <x:v>检查 API 的请求校验、并发风险、超时和异常返回；完成一次端到端调试。</x:v>
      </x:c>
      <x:c r="G29" s="20" t="str">
        <x:v>筛选并投递 2–3 个高匹配岗位；复盘 Backend+AI 岗位常见要求。</x:v>
      </x:c>
      <x:c r="H29" s="32" t="n">
        <x:v>4.5</x:v>
      </x:c>
      <x:c r="I29" s="40" t="str">
        <x:v>未开始</x:v>
      </x:c>
      <x:c r="J29" s="41" t="n">
        <x:v>0</x:v>
      </x:c>
      <x:c r="K29" s="42" t="str"/>
      <x:c r="L29" s="42" t="str"/>
      <x:c r="M29" s="42" t="str"/>
      <x:c r="N29" s="42" t="str"/>
      <x:c r="O29" s="42" t="str"/>
      <x:c r="P29" s="42" t="str"/>
      <x:c r="Q29" s="42" t="str"/>
    </x:row>
    <x:row r="30" ht="70" customHeight="1">
      <x:c r="A30" s="27" t="n">
        <x:v>46306</x:v>
      </x:c>
      <x:c r="B30" s="28" t="str">
        <x:v>第26天</x:v>
      </x:c>
      <x:c r="C30" s="20" t="str">
        <x:v>第4周：面试重点复习</x:v>
      </x:c>
      <x:c r="D30" s="20" t="str">
        <x:v>SQL 面试复习</x:v>
      </x:c>
      <x:c r="E30" s="20" t="str">
        <x:v>复习 JOIN、GROUP BY、Subquery、Index、Transaction 和查询复杂度。</x:v>
      </x:c>
      <x:c r="F30" s="20" t="str">
        <x:v>为 SQL Tool 准备 5 个代表性查询；解释只读限制、索引选择和参数化查询。</x:v>
      </x:c>
      <x:c r="G30" s="20" t="str">
        <x:v>完成 2–3 份高质量投递；把 SQL 高频要求与自身差距录入工作簿。</x:v>
      </x:c>
      <x:c r="H30" s="32" t="n">
        <x:v>4.5</x:v>
      </x:c>
      <x:c r="I30" s="40" t="str">
        <x:v>未开始</x:v>
      </x:c>
      <x:c r="J30" s="41" t="n">
        <x:v>0</x:v>
      </x:c>
      <x:c r="K30" s="42" t="str"/>
      <x:c r="L30" s="42" t="str"/>
      <x:c r="M30" s="42" t="str"/>
      <x:c r="N30" s="42" t="str"/>
      <x:c r="O30" s="42" t="str"/>
      <x:c r="P30" s="42" t="str"/>
      <x:c r="Q30" s="42" t="str"/>
    </x:row>
    <x:row r="31" ht="70" customHeight="1">
      <x:c r="A31" s="27" t="n">
        <x:v>46307</x:v>
      </x:c>
      <x:c r="B31" s="28" t="str">
        <x:v>第27天</x:v>
      </x:c>
      <x:c r="C31" s="20" t="str">
        <x:v>第4周：面试重点复习</x:v>
      </x:c>
      <x:c r="D31" s="20" t="str">
        <x:v>COMP9417 与 COMP9444</x:v>
      </x:c>
      <x:c r="E31" s="20" t="str">
        <x:v>复习 Regression、Classification、Tree、Random Forest、SVM、Overfitting、Regularization、Cross-validation、指标、Neural Network、Backpropagation、CNN、RNN/LSTM、Attention、GNN。</x:v>
      </x:c>
      <x:c r="F31" s="20" t="str">
        <x:v>完成一组 ML/DL 面试题；用已有项目举例解释模型选择、验证和指标。</x:v>
      </x:c>
      <x:c r="G31" s="20" t="str">
        <x:v>完成 3–5 份高质量投递；优先准备已收到的笔试与面试。</x:v>
      </x:c>
      <x:c r="H31" s="32" t="n">
        <x:v>5.5</x:v>
      </x:c>
      <x:c r="I31" s="40" t="str">
        <x:v>未开始</x:v>
      </x:c>
      <x:c r="J31" s="41" t="n">
        <x:v>0</x:v>
      </x:c>
      <x:c r="K31" s="42" t="str"/>
      <x:c r="L31" s="42" t="str"/>
      <x:c r="M31" s="42" t="str"/>
      <x:c r="N31" s="42" t="str"/>
      <x:c r="O31" s="42" t="str"/>
      <x:c r="P31" s="42" t="str"/>
      <x:c r="Q31" s="42" t="str"/>
    </x:row>
    <x:row r="32" ht="70" customHeight="1">
      <x:c r="A32" s="27" t="n">
        <x:v>46308</x:v>
      </x:c>
      <x:c r="B32" s="28" t="str">
        <x:v>第28天</x:v>
      </x:c>
      <x:c r="C32" s="20" t="str">
        <x:v>第4周：面试重点复习</x:v>
      </x:c>
      <x:c r="D32" s="20" t="str">
        <x:v>COMP9414 与 COMP9517</x:v>
      </x:c>
      <x:c r="E32" s="20" t="str">
        <x:v>复习 Agent、BFS/DFS、A*、Heuristic、MDP、Reinforcement Learning、Image processing、Segmentation、Object Detection 和 Tracking。</x:v>
      </x:c>
      <x:c r="F32" s="20" t="str">
        <x:v>完成 AI/CV 题库复盘；准备已有 CV 项目的结构化介绍与技术取舍。</x:v>
      </x:c>
      <x:c r="G32" s="20" t="str">
        <x:v>完成 3–5 份高质量投递；完成第4周复盘并列出最后两天优先事项。</x:v>
      </x:c>
      <x:c r="H32" s="32" t="n">
        <x:v>5</x:v>
      </x:c>
      <x:c r="I32" s="40" t="str">
        <x:v>未开始</x:v>
      </x:c>
      <x:c r="J32" s="41" t="n">
        <x:v>0</x:v>
      </x:c>
      <x:c r="K32" s="42" t="str"/>
      <x:c r="L32" s="42" t="str"/>
      <x:c r="M32" s="42" t="str"/>
      <x:c r="N32" s="42" t="str"/>
      <x:c r="O32" s="42" t="str"/>
      <x:c r="P32" s="42" t="str"/>
      <x:c r="Q32" s="42" t="str"/>
    </x:row>
    <x:row r="33" ht="70" customHeight="1">
      <x:c r="A33" s="27" t="n">
        <x:v>46309</x:v>
      </x:c>
      <x:c r="B33" s="28" t="str">
        <x:v>第29天</x:v>
      </x:c>
      <x:c r="C33" s="20" t="str">
        <x:v>收尾：市场反馈与简历</x:v>
      </x:c>
      <x:c r="D33" s="20" t="str">
        <x:v>JD 频次与证据化简历更新</x:v>
      </x:c>
      <x:c r="E33" s="20" t="str">
        <x:v>汇总累计 30–50 份 AI Application、Agent、RAG JD，统计重复技能并检查学习优先级。</x:v>
      </x:c>
      <x:c r="F33" s="20" t="str">
        <x:v>整理 README、架构图、截图和真实评测记录；只把已实现、可解释或有测量证据的内容写入简历。</x:v>
      </x:c>
      <x:c r="G33" s="20" t="str">
        <x:v>补齐 JD 样本；按频次与截止日期完成定向投递并更新 Resume V2/V3 候选内容。</x:v>
      </x:c>
      <x:c r="H33" s="32" t="n">
        <x:v>5.5</x:v>
      </x:c>
      <x:c r="I33" s="40" t="str">
        <x:v>未开始</x:v>
      </x:c>
      <x:c r="J33" s="41" t="n">
        <x:v>0</x:v>
      </x:c>
      <x:c r="K33" s="42" t="str"/>
      <x:c r="L33" s="42" t="str"/>
      <x:c r="M33" s="42" t="str"/>
      <x:c r="N33" s="42" t="str"/>
      <x:c r="O33" s="42" t="str"/>
      <x:c r="P33" s="42" t="str"/>
      <x:c r="Q33" s="42" t="str"/>
    </x:row>
    <x:row r="34" ht="70" customHeight="1">
      <x:c r="A34" s="29" t="n">
        <x:v>46310</x:v>
      </x:c>
      <x:c r="B34" s="30" t="str">
        <x:v>第30天</x:v>
      </x:c>
      <x:c r="C34" s="21" t="str">
        <x:v>收尾：模拟面试与下一周期</x:v>
      </x:c>
      <x:c r="D34" s="21" t="str">
        <x:v>完整模拟技术面试</x:v>
      </x:c>
      <x:c r="E34" s="21" t="str">
        <x:v>不看笔记回答项目介绍、RAG、Embedding、Reranker、Agent、Tool Calling、Memory、并发和大 PDF 处理等问题。</x:v>
      </x:c>
      <x:c r="F34" s="21" t="str">
        <x:v>完成项目端到端演示；记录失败点、真实指标和下一周期技术债，不新增未经验证的技术声明。</x:v>
      </x:c>
      <x:c r="G34" s="21" t="str">
        <x:v>跟进所有活跃申请；根据模拟面试和真实招聘反馈制定下一周期申请与复习清单。</x:v>
      </x:c>
      <x:c r="H34" s="33" t="n">
        <x:v>5</x:v>
      </x:c>
      <x:c r="I34" s="43" t="str">
        <x:v>未开始</x:v>
      </x:c>
      <x:c r="J34" s="44" t="n">
        <x:v>0</x:v>
      </x:c>
      <x:c r="K34" s="45" t="str"/>
      <x:c r="L34" s="45" t="str"/>
      <x:c r="M34" s="45" t="str"/>
      <x:c r="N34" s="45" t="str"/>
      <x:c r="O34" s="45" t="str"/>
      <x:c r="P34" s="45" t="str"/>
      <x:c r="Q34" s="45" t="str"/>
    </x:row>
  </x:sheetData>
  <x:conditionalFormatting sqref="I5:I34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部分完成"/>
    <x:cfRule type="containsText" dxfId="3" priority="4" operator="containsText" text="受阻"/>
    <x:cfRule type="containsText" dxfId="4" priority="5" operator="containsText" text="已延期"/>
  </x:conditionalFormatting>
  <x:conditionalFormatting sqref="J5:J34">
    <x:cfRule type="dataBar" priority="6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{29609DDC-297F-3AC9-A9B1-5C39744EC554}</x14:id>
        </x:ext>
      </x:extLst>
    </x:cfRule>
  </x:conditionalFormatting>
  <x:dataValidations count="1">
    <x:dataValidation type="list" sqref="I5:I34">
      <x:formula1>"未开始,进行中,部分完成,已完成,已延期,受阻"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8755270f3342b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29609DDC-297F-3AC9-A9B1-5C39744EC554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J5:J34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48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4" hidden="0" customWidth="1"/>
    <x:col min="13" max="13" width="14" hidden="0" customWidth="1"/>
    <x:col min="14" max="14" width="36" hidden="0" customWidth="1"/>
  </x:cols>
  <x:sheetData>
    <x:row r="1" ht="24" customHeight="1">
      <x:c r="A1" s="7" t="str">
        <x:v>求职申请记录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4" customHeight="1">
      <x:c r="A2" s="4" t="str">
        <x:v>只记录真实岗位和真实进度。每次投递、笔试或面试后更新；A 级岗位允许短期准备，但不得因追求完美而无限推迟。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4" ht="34" customHeight="1">
      <x:c r="A4" s="13" t="str">
        <x:v>公司</x:v>
      </x:c>
      <x:c r="B4" s="14" t="str">
        <x:v>岗位</x:v>
      </x:c>
      <x:c r="C4" s="14" t="str">
        <x:v>JD 链接/来源</x:v>
      </x:c>
      <x:c r="D4" s="14" t="str">
        <x:v>JD 关键要求</x:v>
      </x:c>
      <x:c r="E4" s="14" t="str">
        <x:v>优先级</x:v>
      </x:c>
      <x:c r="F4" s="14" t="str">
        <x:v>发现日期</x:v>
      </x:c>
      <x:c r="G4" s="14" t="str">
        <x:v>投递日期</x:v>
      </x:c>
      <x:c r="H4" s="14" t="str">
        <x:v>截止日期</x:v>
      </x:c>
      <x:c r="I4" s="14" t="str">
        <x:v>状态</x:v>
      </x:c>
      <x:c r="J4" s="14" t="str">
        <x:v>笔试日期</x:v>
      </x:c>
      <x:c r="K4" s="14" t="str">
        <x:v>面试日期</x:v>
      </x:c>
      <x:c r="L4" s="14" t="str">
        <x:v>技能差距</x:v>
      </x:c>
      <x:c r="M4" s="14" t="str">
        <x:v>下次跟进日期</x:v>
      </x:c>
      <x:c r="N4" s="15" t="str">
        <x:v>备注</x:v>
      </x:c>
    </x:row>
    <x:row r="5" ht="42" customHeight="1">
      <x:c r="A5" s="39"/>
      <x:c r="B5" s="39"/>
      <x:c r="C5" s="39"/>
      <x:c r="D5" s="39"/>
      <x:c r="E5" s="37"/>
      <x:c r="F5" s="46"/>
      <x:c r="G5" s="46"/>
      <x:c r="H5" s="46"/>
      <x:c r="I5" s="37"/>
      <x:c r="J5" s="46"/>
      <x:c r="K5" s="46"/>
      <x:c r="L5" s="39"/>
      <x:c r="M5" s="49"/>
      <x:c r="N5" s="39"/>
    </x:row>
    <x:row r="6" ht="42" customHeight="1">
      <x:c r="A6" s="42"/>
      <x:c r="B6" s="42"/>
      <x:c r="C6" s="42"/>
      <x:c r="D6" s="42"/>
      <x:c r="E6" s="40"/>
      <x:c r="F6" s="47"/>
      <x:c r="G6" s="47"/>
      <x:c r="H6" s="47"/>
      <x:c r="I6" s="40"/>
      <x:c r="J6" s="47"/>
      <x:c r="K6" s="47"/>
      <x:c r="L6" s="42"/>
      <x:c r="M6" s="50"/>
      <x:c r="N6" s="42"/>
    </x:row>
    <x:row r="7" ht="42" customHeight="1">
      <x:c r="A7" s="42"/>
      <x:c r="B7" s="42"/>
      <x:c r="C7" s="42"/>
      <x:c r="D7" s="42"/>
      <x:c r="E7" s="40"/>
      <x:c r="F7" s="47"/>
      <x:c r="G7" s="47"/>
      <x:c r="H7" s="47"/>
      <x:c r="I7" s="40"/>
      <x:c r="J7" s="47"/>
      <x:c r="K7" s="47"/>
      <x:c r="L7" s="42"/>
      <x:c r="M7" s="50"/>
      <x:c r="N7" s="42"/>
    </x:row>
    <x:row r="8" ht="42" customHeight="1">
      <x:c r="A8" s="42"/>
      <x:c r="B8" s="42"/>
      <x:c r="C8" s="42"/>
      <x:c r="D8" s="42"/>
      <x:c r="E8" s="40"/>
      <x:c r="F8" s="47"/>
      <x:c r="G8" s="47"/>
      <x:c r="H8" s="47"/>
      <x:c r="I8" s="40"/>
      <x:c r="J8" s="47"/>
      <x:c r="K8" s="47"/>
      <x:c r="L8" s="42"/>
      <x:c r="M8" s="50"/>
      <x:c r="N8" s="42"/>
    </x:row>
    <x:row r="9" ht="42" customHeight="1">
      <x:c r="A9" s="42"/>
      <x:c r="B9" s="42"/>
      <x:c r="C9" s="42"/>
      <x:c r="D9" s="42"/>
      <x:c r="E9" s="40"/>
      <x:c r="F9" s="47"/>
      <x:c r="G9" s="47"/>
      <x:c r="H9" s="47"/>
      <x:c r="I9" s="40"/>
      <x:c r="J9" s="47"/>
      <x:c r="K9" s="47"/>
      <x:c r="L9" s="42"/>
      <x:c r="M9" s="50"/>
      <x:c r="N9" s="42"/>
    </x:row>
    <x:row r="10" ht="42" customHeight="1">
      <x:c r="A10" s="42"/>
      <x:c r="B10" s="42"/>
      <x:c r="C10" s="42"/>
      <x:c r="D10" s="42"/>
      <x:c r="E10" s="40"/>
      <x:c r="F10" s="47"/>
      <x:c r="G10" s="47"/>
      <x:c r="H10" s="47"/>
      <x:c r="I10" s="40"/>
      <x:c r="J10" s="47"/>
      <x:c r="K10" s="47"/>
      <x:c r="L10" s="42"/>
      <x:c r="M10" s="50"/>
      <x:c r="N10" s="42"/>
    </x:row>
    <x:row r="11" ht="42" customHeight="1">
      <x:c r="A11" s="42"/>
      <x:c r="B11" s="42"/>
      <x:c r="C11" s="42"/>
      <x:c r="D11" s="42"/>
      <x:c r="E11" s="40"/>
      <x:c r="F11" s="47"/>
      <x:c r="G11" s="47"/>
      <x:c r="H11" s="47"/>
      <x:c r="I11" s="40"/>
      <x:c r="J11" s="47"/>
      <x:c r="K11" s="47"/>
      <x:c r="L11" s="42"/>
      <x:c r="M11" s="50"/>
      <x:c r="N11" s="42"/>
    </x:row>
    <x:row r="12" ht="42" customHeight="1">
      <x:c r="A12" s="42"/>
      <x:c r="B12" s="42"/>
      <x:c r="C12" s="42"/>
      <x:c r="D12" s="42"/>
      <x:c r="E12" s="40"/>
      <x:c r="F12" s="47"/>
      <x:c r="G12" s="47"/>
      <x:c r="H12" s="47"/>
      <x:c r="I12" s="40"/>
      <x:c r="J12" s="47"/>
      <x:c r="K12" s="47"/>
      <x:c r="L12" s="42"/>
      <x:c r="M12" s="50"/>
      <x:c r="N12" s="42"/>
    </x:row>
    <x:row r="13" ht="42" customHeight="1">
      <x:c r="A13" s="42"/>
      <x:c r="B13" s="42"/>
      <x:c r="C13" s="42"/>
      <x:c r="D13" s="42"/>
      <x:c r="E13" s="40"/>
      <x:c r="F13" s="47"/>
      <x:c r="G13" s="47"/>
      <x:c r="H13" s="47"/>
      <x:c r="I13" s="40"/>
      <x:c r="J13" s="47"/>
      <x:c r="K13" s="47"/>
      <x:c r="L13" s="42"/>
      <x:c r="M13" s="50"/>
      <x:c r="N13" s="42"/>
    </x:row>
    <x:row r="14" ht="42" customHeight="1">
      <x:c r="A14" s="42"/>
      <x:c r="B14" s="42"/>
      <x:c r="C14" s="42"/>
      <x:c r="D14" s="42"/>
      <x:c r="E14" s="40"/>
      <x:c r="F14" s="47"/>
      <x:c r="G14" s="47"/>
      <x:c r="H14" s="47"/>
      <x:c r="I14" s="40"/>
      <x:c r="J14" s="47"/>
      <x:c r="K14" s="47"/>
      <x:c r="L14" s="42"/>
      <x:c r="M14" s="50"/>
      <x:c r="N14" s="42"/>
    </x:row>
    <x:row r="15" ht="42" customHeight="1">
      <x:c r="A15" s="42"/>
      <x:c r="B15" s="42"/>
      <x:c r="C15" s="42"/>
      <x:c r="D15" s="42"/>
      <x:c r="E15" s="40"/>
      <x:c r="F15" s="47"/>
      <x:c r="G15" s="47"/>
      <x:c r="H15" s="47"/>
      <x:c r="I15" s="40"/>
      <x:c r="J15" s="47"/>
      <x:c r="K15" s="47"/>
      <x:c r="L15" s="42"/>
      <x:c r="M15" s="50"/>
      <x:c r="N15" s="42"/>
    </x:row>
    <x:row r="16" ht="42" customHeight="1">
      <x:c r="A16" s="42"/>
      <x:c r="B16" s="42"/>
      <x:c r="C16" s="42"/>
      <x:c r="D16" s="42"/>
      <x:c r="E16" s="40"/>
      <x:c r="F16" s="47"/>
      <x:c r="G16" s="47"/>
      <x:c r="H16" s="47"/>
      <x:c r="I16" s="40"/>
      <x:c r="J16" s="47"/>
      <x:c r="K16" s="47"/>
      <x:c r="L16" s="42"/>
      <x:c r="M16" s="50"/>
      <x:c r="N16" s="42"/>
    </x:row>
    <x:row r="17" ht="42" customHeight="1">
      <x:c r="A17" s="42"/>
      <x:c r="B17" s="42"/>
      <x:c r="C17" s="42"/>
      <x:c r="D17" s="42"/>
      <x:c r="E17" s="40"/>
      <x:c r="F17" s="47"/>
      <x:c r="G17" s="47"/>
      <x:c r="H17" s="47"/>
      <x:c r="I17" s="40"/>
      <x:c r="J17" s="47"/>
      <x:c r="K17" s="47"/>
      <x:c r="L17" s="42"/>
      <x:c r="M17" s="50"/>
      <x:c r="N17" s="42"/>
    </x:row>
    <x:row r="18" ht="42" customHeight="1">
      <x:c r="A18" s="42"/>
      <x:c r="B18" s="42"/>
      <x:c r="C18" s="42"/>
      <x:c r="D18" s="42"/>
      <x:c r="E18" s="40"/>
      <x:c r="F18" s="47"/>
      <x:c r="G18" s="47"/>
      <x:c r="H18" s="47"/>
      <x:c r="I18" s="40"/>
      <x:c r="J18" s="47"/>
      <x:c r="K18" s="47"/>
      <x:c r="L18" s="42"/>
      <x:c r="M18" s="50"/>
      <x:c r="N18" s="42"/>
    </x:row>
    <x:row r="19" ht="42" customHeight="1">
      <x:c r="A19" s="42"/>
      <x:c r="B19" s="42"/>
      <x:c r="C19" s="42"/>
      <x:c r="D19" s="42"/>
      <x:c r="E19" s="40"/>
      <x:c r="F19" s="47"/>
      <x:c r="G19" s="47"/>
      <x:c r="H19" s="47"/>
      <x:c r="I19" s="40"/>
      <x:c r="J19" s="47"/>
      <x:c r="K19" s="47"/>
      <x:c r="L19" s="42"/>
      <x:c r="M19" s="50"/>
      <x:c r="N19" s="42"/>
    </x:row>
    <x:row r="20" ht="42" customHeight="1">
      <x:c r="A20" s="42"/>
      <x:c r="B20" s="42"/>
      <x:c r="C20" s="42"/>
      <x:c r="D20" s="42"/>
      <x:c r="E20" s="40"/>
      <x:c r="F20" s="47"/>
      <x:c r="G20" s="47"/>
      <x:c r="H20" s="47"/>
      <x:c r="I20" s="40"/>
      <x:c r="J20" s="47"/>
      <x:c r="K20" s="47"/>
      <x:c r="L20" s="42"/>
      <x:c r="M20" s="50"/>
      <x:c r="N20" s="42"/>
    </x:row>
    <x:row r="21" ht="42" customHeight="1">
      <x:c r="A21" s="42"/>
      <x:c r="B21" s="42"/>
      <x:c r="C21" s="42"/>
      <x:c r="D21" s="42"/>
      <x:c r="E21" s="40"/>
      <x:c r="F21" s="47"/>
      <x:c r="G21" s="47"/>
      <x:c r="H21" s="47"/>
      <x:c r="I21" s="40"/>
      <x:c r="J21" s="47"/>
      <x:c r="K21" s="47"/>
      <x:c r="L21" s="42"/>
      <x:c r="M21" s="50"/>
      <x:c r="N21" s="42"/>
    </x:row>
    <x:row r="22" ht="42" customHeight="1">
      <x:c r="A22" s="42"/>
      <x:c r="B22" s="42"/>
      <x:c r="C22" s="42"/>
      <x:c r="D22" s="42"/>
      <x:c r="E22" s="40"/>
      <x:c r="F22" s="47"/>
      <x:c r="G22" s="47"/>
      <x:c r="H22" s="47"/>
      <x:c r="I22" s="40"/>
      <x:c r="J22" s="47"/>
      <x:c r="K22" s="47"/>
      <x:c r="L22" s="42"/>
      <x:c r="M22" s="50"/>
      <x:c r="N22" s="42"/>
    </x:row>
    <x:row r="23" ht="42" customHeight="1">
      <x:c r="A23" s="42"/>
      <x:c r="B23" s="42"/>
      <x:c r="C23" s="42"/>
      <x:c r="D23" s="42"/>
      <x:c r="E23" s="40"/>
      <x:c r="F23" s="47"/>
      <x:c r="G23" s="47"/>
      <x:c r="H23" s="47"/>
      <x:c r="I23" s="40"/>
      <x:c r="J23" s="47"/>
      <x:c r="K23" s="47"/>
      <x:c r="L23" s="42"/>
      <x:c r="M23" s="50"/>
      <x:c r="N23" s="42"/>
    </x:row>
    <x:row r="24" ht="42" customHeight="1">
      <x:c r="A24" s="42"/>
      <x:c r="B24" s="42"/>
      <x:c r="C24" s="42"/>
      <x:c r="D24" s="42"/>
      <x:c r="E24" s="40"/>
      <x:c r="F24" s="47"/>
      <x:c r="G24" s="47"/>
      <x:c r="H24" s="47"/>
      <x:c r="I24" s="40"/>
      <x:c r="J24" s="47"/>
      <x:c r="K24" s="47"/>
      <x:c r="L24" s="42"/>
      <x:c r="M24" s="50"/>
      <x:c r="N24" s="42"/>
    </x:row>
    <x:row r="25" ht="42" customHeight="1">
      <x:c r="A25" s="42"/>
      <x:c r="B25" s="42"/>
      <x:c r="C25" s="42"/>
      <x:c r="D25" s="42"/>
      <x:c r="E25" s="40"/>
      <x:c r="F25" s="47"/>
      <x:c r="G25" s="47"/>
      <x:c r="H25" s="47"/>
      <x:c r="I25" s="40"/>
      <x:c r="J25" s="47"/>
      <x:c r="K25" s="47"/>
      <x:c r="L25" s="42"/>
      <x:c r="M25" s="50"/>
      <x:c r="N25" s="42"/>
    </x:row>
    <x:row r="26" ht="42" customHeight="1">
      <x:c r="A26" s="42"/>
      <x:c r="B26" s="42"/>
      <x:c r="C26" s="42"/>
      <x:c r="D26" s="42"/>
      <x:c r="E26" s="40"/>
      <x:c r="F26" s="47"/>
      <x:c r="G26" s="47"/>
      <x:c r="H26" s="47"/>
      <x:c r="I26" s="40"/>
      <x:c r="J26" s="47"/>
      <x:c r="K26" s="47"/>
      <x:c r="L26" s="42"/>
      <x:c r="M26" s="50"/>
      <x:c r="N26" s="42"/>
    </x:row>
    <x:row r="27" ht="42" customHeight="1">
      <x:c r="A27" s="42"/>
      <x:c r="B27" s="42"/>
      <x:c r="C27" s="42"/>
      <x:c r="D27" s="42"/>
      <x:c r="E27" s="40"/>
      <x:c r="F27" s="47"/>
      <x:c r="G27" s="47"/>
      <x:c r="H27" s="47"/>
      <x:c r="I27" s="40"/>
      <x:c r="J27" s="47"/>
      <x:c r="K27" s="47"/>
      <x:c r="L27" s="42"/>
      <x:c r="M27" s="50"/>
      <x:c r="N27" s="42"/>
    </x:row>
    <x:row r="28" ht="42" customHeight="1">
      <x:c r="A28" s="42"/>
      <x:c r="B28" s="42"/>
      <x:c r="C28" s="42"/>
      <x:c r="D28" s="42"/>
      <x:c r="E28" s="40"/>
      <x:c r="F28" s="47"/>
      <x:c r="G28" s="47"/>
      <x:c r="H28" s="47"/>
      <x:c r="I28" s="40"/>
      <x:c r="J28" s="47"/>
      <x:c r="K28" s="47"/>
      <x:c r="L28" s="42"/>
      <x:c r="M28" s="50"/>
      <x:c r="N28" s="42"/>
    </x:row>
    <x:row r="29" ht="42" customHeight="1">
      <x:c r="A29" s="42"/>
      <x:c r="B29" s="42"/>
      <x:c r="C29" s="42"/>
      <x:c r="D29" s="42"/>
      <x:c r="E29" s="40"/>
      <x:c r="F29" s="47"/>
      <x:c r="G29" s="47"/>
      <x:c r="H29" s="47"/>
      <x:c r="I29" s="40"/>
      <x:c r="J29" s="47"/>
      <x:c r="K29" s="47"/>
      <x:c r="L29" s="42"/>
      <x:c r="M29" s="50"/>
      <x:c r="N29" s="42"/>
    </x:row>
    <x:row r="30" ht="42" customHeight="1">
      <x:c r="A30" s="42"/>
      <x:c r="B30" s="42"/>
      <x:c r="C30" s="42"/>
      <x:c r="D30" s="42"/>
      <x:c r="E30" s="40"/>
      <x:c r="F30" s="47"/>
      <x:c r="G30" s="47"/>
      <x:c r="H30" s="47"/>
      <x:c r="I30" s="40"/>
      <x:c r="J30" s="47"/>
      <x:c r="K30" s="47"/>
      <x:c r="L30" s="42"/>
      <x:c r="M30" s="50"/>
      <x:c r="N30" s="42"/>
    </x:row>
    <x:row r="31" ht="42" customHeight="1">
      <x:c r="A31" s="42"/>
      <x:c r="B31" s="42"/>
      <x:c r="C31" s="42"/>
      <x:c r="D31" s="42"/>
      <x:c r="E31" s="40"/>
      <x:c r="F31" s="47"/>
      <x:c r="G31" s="47"/>
      <x:c r="H31" s="47"/>
      <x:c r="I31" s="40"/>
      <x:c r="J31" s="47"/>
      <x:c r="K31" s="47"/>
      <x:c r="L31" s="42"/>
      <x:c r="M31" s="50"/>
      <x:c r="N31" s="42"/>
    </x:row>
    <x:row r="32" ht="42" customHeight="1">
      <x:c r="A32" s="42"/>
      <x:c r="B32" s="42"/>
      <x:c r="C32" s="42"/>
      <x:c r="D32" s="42"/>
      <x:c r="E32" s="40"/>
      <x:c r="F32" s="47"/>
      <x:c r="G32" s="47"/>
      <x:c r="H32" s="47"/>
      <x:c r="I32" s="40"/>
      <x:c r="J32" s="47"/>
      <x:c r="K32" s="47"/>
      <x:c r="L32" s="42"/>
      <x:c r="M32" s="50"/>
      <x:c r="N32" s="42"/>
    </x:row>
    <x:row r="33" ht="42" customHeight="1">
      <x:c r="A33" s="42"/>
      <x:c r="B33" s="42"/>
      <x:c r="C33" s="42"/>
      <x:c r="D33" s="42"/>
      <x:c r="E33" s="40"/>
      <x:c r="F33" s="47"/>
      <x:c r="G33" s="47"/>
      <x:c r="H33" s="47"/>
      <x:c r="I33" s="40"/>
      <x:c r="J33" s="47"/>
      <x:c r="K33" s="47"/>
      <x:c r="L33" s="42"/>
      <x:c r="M33" s="50"/>
      <x:c r="N33" s="42"/>
    </x:row>
    <x:row r="34" ht="42" customHeight="1">
      <x:c r="A34" s="42"/>
      <x:c r="B34" s="42"/>
      <x:c r="C34" s="42"/>
      <x:c r="D34" s="42"/>
      <x:c r="E34" s="40"/>
      <x:c r="F34" s="47"/>
      <x:c r="G34" s="47"/>
      <x:c r="H34" s="47"/>
      <x:c r="I34" s="40"/>
      <x:c r="J34" s="47"/>
      <x:c r="K34" s="47"/>
      <x:c r="L34" s="42"/>
      <x:c r="M34" s="50"/>
      <x:c r="N34" s="42"/>
    </x:row>
    <x:row r="35" ht="42" customHeight="1">
      <x:c r="A35" s="42"/>
      <x:c r="B35" s="42"/>
      <x:c r="C35" s="42"/>
      <x:c r="D35" s="42"/>
      <x:c r="E35" s="40"/>
      <x:c r="F35" s="47"/>
      <x:c r="G35" s="47"/>
      <x:c r="H35" s="47"/>
      <x:c r="I35" s="40"/>
      <x:c r="J35" s="47"/>
      <x:c r="K35" s="47"/>
      <x:c r="L35" s="42"/>
      <x:c r="M35" s="50"/>
      <x:c r="N35" s="42"/>
    </x:row>
    <x:row r="36" ht="42" customHeight="1">
      <x:c r="A36" s="42"/>
      <x:c r="B36" s="42"/>
      <x:c r="C36" s="42"/>
      <x:c r="D36" s="42"/>
      <x:c r="E36" s="40"/>
      <x:c r="F36" s="47"/>
      <x:c r="G36" s="47"/>
      <x:c r="H36" s="47"/>
      <x:c r="I36" s="40"/>
      <x:c r="J36" s="47"/>
      <x:c r="K36" s="47"/>
      <x:c r="L36" s="42"/>
      <x:c r="M36" s="50"/>
      <x:c r="N36" s="42"/>
    </x:row>
    <x:row r="37" ht="42" customHeight="1">
      <x:c r="A37" s="42"/>
      <x:c r="B37" s="42"/>
      <x:c r="C37" s="42"/>
      <x:c r="D37" s="42"/>
      <x:c r="E37" s="40"/>
      <x:c r="F37" s="47"/>
      <x:c r="G37" s="47"/>
      <x:c r="H37" s="47"/>
      <x:c r="I37" s="40"/>
      <x:c r="J37" s="47"/>
      <x:c r="K37" s="47"/>
      <x:c r="L37" s="42"/>
      <x:c r="M37" s="50"/>
      <x:c r="N37" s="42"/>
    </x:row>
    <x:row r="38" ht="42" customHeight="1">
      <x:c r="A38" s="42"/>
      <x:c r="B38" s="42"/>
      <x:c r="C38" s="42"/>
      <x:c r="D38" s="42"/>
      <x:c r="E38" s="40"/>
      <x:c r="F38" s="47"/>
      <x:c r="G38" s="47"/>
      <x:c r="H38" s="47"/>
      <x:c r="I38" s="40"/>
      <x:c r="J38" s="47"/>
      <x:c r="K38" s="47"/>
      <x:c r="L38" s="42"/>
      <x:c r="M38" s="50"/>
      <x:c r="N38" s="42"/>
    </x:row>
    <x:row r="39" ht="42" customHeight="1">
      <x:c r="A39" s="42"/>
      <x:c r="B39" s="42"/>
      <x:c r="C39" s="42"/>
      <x:c r="D39" s="42"/>
      <x:c r="E39" s="40"/>
      <x:c r="F39" s="47"/>
      <x:c r="G39" s="47"/>
      <x:c r="H39" s="47"/>
      <x:c r="I39" s="40"/>
      <x:c r="J39" s="47"/>
      <x:c r="K39" s="47"/>
      <x:c r="L39" s="42"/>
      <x:c r="M39" s="50"/>
      <x:c r="N39" s="42"/>
    </x:row>
    <x:row r="40" ht="42" customHeight="1">
      <x:c r="A40" s="42"/>
      <x:c r="B40" s="42"/>
      <x:c r="C40" s="42"/>
      <x:c r="D40" s="42"/>
      <x:c r="E40" s="40"/>
      <x:c r="F40" s="47"/>
      <x:c r="G40" s="47"/>
      <x:c r="H40" s="47"/>
      <x:c r="I40" s="40"/>
      <x:c r="J40" s="47"/>
      <x:c r="K40" s="47"/>
      <x:c r="L40" s="42"/>
      <x:c r="M40" s="50"/>
      <x:c r="N40" s="42"/>
    </x:row>
    <x:row r="41" ht="42" customHeight="1">
      <x:c r="A41" s="42"/>
      <x:c r="B41" s="42"/>
      <x:c r="C41" s="42"/>
      <x:c r="D41" s="42"/>
      <x:c r="E41" s="40"/>
      <x:c r="F41" s="47"/>
      <x:c r="G41" s="47"/>
      <x:c r="H41" s="47"/>
      <x:c r="I41" s="40"/>
      <x:c r="J41" s="47"/>
      <x:c r="K41" s="47"/>
      <x:c r="L41" s="42"/>
      <x:c r="M41" s="50"/>
      <x:c r="N41" s="42"/>
    </x:row>
    <x:row r="42" ht="42" customHeight="1">
      <x:c r="A42" s="42"/>
      <x:c r="B42" s="42"/>
      <x:c r="C42" s="42"/>
      <x:c r="D42" s="42"/>
      <x:c r="E42" s="40"/>
      <x:c r="F42" s="47"/>
      <x:c r="G42" s="47"/>
      <x:c r="H42" s="47"/>
      <x:c r="I42" s="40"/>
      <x:c r="J42" s="47"/>
      <x:c r="K42" s="47"/>
      <x:c r="L42" s="42"/>
      <x:c r="M42" s="50"/>
      <x:c r="N42" s="42"/>
    </x:row>
    <x:row r="43" ht="42" customHeight="1">
      <x:c r="A43" s="42"/>
      <x:c r="B43" s="42"/>
      <x:c r="C43" s="42"/>
      <x:c r="D43" s="42"/>
      <x:c r="E43" s="40"/>
      <x:c r="F43" s="47"/>
      <x:c r="G43" s="47"/>
      <x:c r="H43" s="47"/>
      <x:c r="I43" s="40"/>
      <x:c r="J43" s="47"/>
      <x:c r="K43" s="47"/>
      <x:c r="L43" s="42"/>
      <x:c r="M43" s="50"/>
      <x:c r="N43" s="42"/>
    </x:row>
    <x:row r="44" ht="42" customHeight="1">
      <x:c r="A44" s="42"/>
      <x:c r="B44" s="42"/>
      <x:c r="C44" s="42"/>
      <x:c r="D44" s="42"/>
      <x:c r="E44" s="40"/>
      <x:c r="F44" s="47"/>
      <x:c r="G44" s="47"/>
      <x:c r="H44" s="47"/>
      <x:c r="I44" s="40"/>
      <x:c r="J44" s="47"/>
      <x:c r="K44" s="47"/>
      <x:c r="L44" s="42"/>
      <x:c r="M44" s="50"/>
      <x:c r="N44" s="42"/>
    </x:row>
    <x:row r="45" ht="42" customHeight="1">
      <x:c r="A45" s="42"/>
      <x:c r="B45" s="42"/>
      <x:c r="C45" s="42"/>
      <x:c r="D45" s="42"/>
      <x:c r="E45" s="40"/>
      <x:c r="F45" s="47"/>
      <x:c r="G45" s="47"/>
      <x:c r="H45" s="47"/>
      <x:c r="I45" s="40"/>
      <x:c r="J45" s="47"/>
      <x:c r="K45" s="47"/>
      <x:c r="L45" s="42"/>
      <x:c r="M45" s="50"/>
      <x:c r="N45" s="42"/>
    </x:row>
    <x:row r="46" ht="42" customHeight="1">
      <x:c r="A46" s="42"/>
      <x:c r="B46" s="42"/>
      <x:c r="C46" s="42"/>
      <x:c r="D46" s="42"/>
      <x:c r="E46" s="40"/>
      <x:c r="F46" s="47"/>
      <x:c r="G46" s="47"/>
      <x:c r="H46" s="47"/>
      <x:c r="I46" s="40"/>
      <x:c r="J46" s="47"/>
      <x:c r="K46" s="47"/>
      <x:c r="L46" s="42"/>
      <x:c r="M46" s="50"/>
      <x:c r="N46" s="42"/>
    </x:row>
    <x:row r="47" ht="42" customHeight="1">
      <x:c r="A47" s="42"/>
      <x:c r="B47" s="42"/>
      <x:c r="C47" s="42"/>
      <x:c r="D47" s="42"/>
      <x:c r="E47" s="40"/>
      <x:c r="F47" s="47"/>
      <x:c r="G47" s="47"/>
      <x:c r="H47" s="47"/>
      <x:c r="I47" s="40"/>
      <x:c r="J47" s="47"/>
      <x:c r="K47" s="47"/>
      <x:c r="L47" s="42"/>
      <x:c r="M47" s="50"/>
      <x:c r="N47" s="42"/>
    </x:row>
    <x:row r="48" ht="42" customHeight="1">
      <x:c r="A48" s="42"/>
      <x:c r="B48" s="42"/>
      <x:c r="C48" s="42"/>
      <x:c r="D48" s="42"/>
      <x:c r="E48" s="40"/>
      <x:c r="F48" s="47"/>
      <x:c r="G48" s="47"/>
      <x:c r="H48" s="47"/>
      <x:c r="I48" s="40"/>
      <x:c r="J48" s="47"/>
      <x:c r="K48" s="47"/>
      <x:c r="L48" s="42"/>
      <x:c r="M48" s="50"/>
      <x:c r="N48" s="42"/>
    </x:row>
    <x:row r="49" ht="42" customHeight="1">
      <x:c r="A49" s="42"/>
      <x:c r="B49" s="42"/>
      <x:c r="C49" s="42"/>
      <x:c r="D49" s="42"/>
      <x:c r="E49" s="40"/>
      <x:c r="F49" s="47"/>
      <x:c r="G49" s="47"/>
      <x:c r="H49" s="47"/>
      <x:c r="I49" s="40"/>
      <x:c r="J49" s="47"/>
      <x:c r="K49" s="47"/>
      <x:c r="L49" s="42"/>
      <x:c r="M49" s="50"/>
      <x:c r="N49" s="42"/>
    </x:row>
    <x:row r="50" ht="42" customHeight="1">
      <x:c r="A50" s="42"/>
      <x:c r="B50" s="42"/>
      <x:c r="C50" s="42"/>
      <x:c r="D50" s="42"/>
      <x:c r="E50" s="40"/>
      <x:c r="F50" s="47"/>
      <x:c r="G50" s="47"/>
      <x:c r="H50" s="47"/>
      <x:c r="I50" s="40"/>
      <x:c r="J50" s="47"/>
      <x:c r="K50" s="47"/>
      <x:c r="L50" s="42"/>
      <x:c r="M50" s="50"/>
      <x:c r="N50" s="42"/>
    </x:row>
    <x:row r="51" ht="42" customHeight="1">
      <x:c r="A51" s="42"/>
      <x:c r="B51" s="42"/>
      <x:c r="C51" s="42"/>
      <x:c r="D51" s="42"/>
      <x:c r="E51" s="40"/>
      <x:c r="F51" s="47"/>
      <x:c r="G51" s="47"/>
      <x:c r="H51" s="47"/>
      <x:c r="I51" s="40"/>
      <x:c r="J51" s="47"/>
      <x:c r="K51" s="47"/>
      <x:c r="L51" s="42"/>
      <x:c r="M51" s="50"/>
      <x:c r="N51" s="42"/>
    </x:row>
    <x:row r="52" ht="42" customHeight="1">
      <x:c r="A52" s="42"/>
      <x:c r="B52" s="42"/>
      <x:c r="C52" s="42"/>
      <x:c r="D52" s="42"/>
      <x:c r="E52" s="40"/>
      <x:c r="F52" s="47"/>
      <x:c r="G52" s="47"/>
      <x:c r="H52" s="47"/>
      <x:c r="I52" s="40"/>
      <x:c r="J52" s="47"/>
      <x:c r="K52" s="47"/>
      <x:c r="L52" s="42"/>
      <x:c r="M52" s="50"/>
      <x:c r="N52" s="42"/>
    </x:row>
    <x:row r="53" ht="42" customHeight="1">
      <x:c r="A53" s="42"/>
      <x:c r="B53" s="42"/>
      <x:c r="C53" s="42"/>
      <x:c r="D53" s="42"/>
      <x:c r="E53" s="40"/>
      <x:c r="F53" s="47"/>
      <x:c r="G53" s="47"/>
      <x:c r="H53" s="47"/>
      <x:c r="I53" s="40"/>
      <x:c r="J53" s="47"/>
      <x:c r="K53" s="47"/>
      <x:c r="L53" s="42"/>
      <x:c r="M53" s="50"/>
      <x:c r="N53" s="42"/>
    </x:row>
    <x:row r="54" ht="42" customHeight="1">
      <x:c r="A54" s="42"/>
      <x:c r="B54" s="42"/>
      <x:c r="C54" s="42"/>
      <x:c r="D54" s="42"/>
      <x:c r="E54" s="40"/>
      <x:c r="F54" s="47"/>
      <x:c r="G54" s="47"/>
      <x:c r="H54" s="47"/>
      <x:c r="I54" s="40"/>
      <x:c r="J54" s="47"/>
      <x:c r="K54" s="47"/>
      <x:c r="L54" s="42"/>
      <x:c r="M54" s="50"/>
      <x:c r="N54" s="42"/>
    </x:row>
    <x:row r="55" ht="42" customHeight="1">
      <x:c r="A55" s="42"/>
      <x:c r="B55" s="42"/>
      <x:c r="C55" s="42"/>
      <x:c r="D55" s="42"/>
      <x:c r="E55" s="40"/>
      <x:c r="F55" s="47"/>
      <x:c r="G55" s="47"/>
      <x:c r="H55" s="47"/>
      <x:c r="I55" s="40"/>
      <x:c r="J55" s="47"/>
      <x:c r="K55" s="47"/>
      <x:c r="L55" s="42"/>
      <x:c r="M55" s="50"/>
      <x:c r="N55" s="42"/>
    </x:row>
    <x:row r="56" ht="42" customHeight="1">
      <x:c r="A56" s="42"/>
      <x:c r="B56" s="42"/>
      <x:c r="C56" s="42"/>
      <x:c r="D56" s="42"/>
      <x:c r="E56" s="40"/>
      <x:c r="F56" s="47"/>
      <x:c r="G56" s="47"/>
      <x:c r="H56" s="47"/>
      <x:c r="I56" s="40"/>
      <x:c r="J56" s="47"/>
      <x:c r="K56" s="47"/>
      <x:c r="L56" s="42"/>
      <x:c r="M56" s="50"/>
      <x:c r="N56" s="42"/>
    </x:row>
    <x:row r="57" ht="42" customHeight="1">
      <x:c r="A57" s="42"/>
      <x:c r="B57" s="42"/>
      <x:c r="C57" s="42"/>
      <x:c r="D57" s="42"/>
      <x:c r="E57" s="40"/>
      <x:c r="F57" s="47"/>
      <x:c r="G57" s="47"/>
      <x:c r="H57" s="47"/>
      <x:c r="I57" s="40"/>
      <x:c r="J57" s="47"/>
      <x:c r="K57" s="47"/>
      <x:c r="L57" s="42"/>
      <x:c r="M57" s="50"/>
      <x:c r="N57" s="42"/>
    </x:row>
    <x:row r="58" ht="42" customHeight="1">
      <x:c r="A58" s="42"/>
      <x:c r="B58" s="42"/>
      <x:c r="C58" s="42"/>
      <x:c r="D58" s="42"/>
      <x:c r="E58" s="40"/>
      <x:c r="F58" s="47"/>
      <x:c r="G58" s="47"/>
      <x:c r="H58" s="47"/>
      <x:c r="I58" s="40"/>
      <x:c r="J58" s="47"/>
      <x:c r="K58" s="47"/>
      <x:c r="L58" s="42"/>
      <x:c r="M58" s="50"/>
      <x:c r="N58" s="42"/>
    </x:row>
    <x:row r="59" ht="42" customHeight="1">
      <x:c r="A59" s="42"/>
      <x:c r="B59" s="42"/>
      <x:c r="C59" s="42"/>
      <x:c r="D59" s="42"/>
      <x:c r="E59" s="40"/>
      <x:c r="F59" s="47"/>
      <x:c r="G59" s="47"/>
      <x:c r="H59" s="47"/>
      <x:c r="I59" s="40"/>
      <x:c r="J59" s="47"/>
      <x:c r="K59" s="47"/>
      <x:c r="L59" s="42"/>
      <x:c r="M59" s="50"/>
      <x:c r="N59" s="42"/>
    </x:row>
    <x:row r="60" ht="42" customHeight="1">
      <x:c r="A60" s="42"/>
      <x:c r="B60" s="42"/>
      <x:c r="C60" s="42"/>
      <x:c r="D60" s="42"/>
      <x:c r="E60" s="40"/>
      <x:c r="F60" s="47"/>
      <x:c r="G60" s="47"/>
      <x:c r="H60" s="47"/>
      <x:c r="I60" s="40"/>
      <x:c r="J60" s="47"/>
      <x:c r="K60" s="47"/>
      <x:c r="L60" s="42"/>
      <x:c r="M60" s="50"/>
      <x:c r="N60" s="42"/>
    </x:row>
    <x:row r="61" ht="42" customHeight="1">
      <x:c r="A61" s="42"/>
      <x:c r="B61" s="42"/>
      <x:c r="C61" s="42"/>
      <x:c r="D61" s="42"/>
      <x:c r="E61" s="40"/>
      <x:c r="F61" s="47"/>
      <x:c r="G61" s="47"/>
      <x:c r="H61" s="47"/>
      <x:c r="I61" s="40"/>
      <x:c r="J61" s="47"/>
      <x:c r="K61" s="47"/>
      <x:c r="L61" s="42"/>
      <x:c r="M61" s="50"/>
      <x:c r="N61" s="42"/>
    </x:row>
    <x:row r="62" ht="42" customHeight="1">
      <x:c r="A62" s="42"/>
      <x:c r="B62" s="42"/>
      <x:c r="C62" s="42"/>
      <x:c r="D62" s="42"/>
      <x:c r="E62" s="40"/>
      <x:c r="F62" s="47"/>
      <x:c r="G62" s="47"/>
      <x:c r="H62" s="47"/>
      <x:c r="I62" s="40"/>
      <x:c r="J62" s="47"/>
      <x:c r="K62" s="47"/>
      <x:c r="L62" s="42"/>
      <x:c r="M62" s="50"/>
      <x:c r="N62" s="42"/>
    </x:row>
    <x:row r="63" ht="42" customHeight="1">
      <x:c r="A63" s="42"/>
      <x:c r="B63" s="42"/>
      <x:c r="C63" s="42"/>
      <x:c r="D63" s="42"/>
      <x:c r="E63" s="40"/>
      <x:c r="F63" s="47"/>
      <x:c r="G63" s="47"/>
      <x:c r="H63" s="47"/>
      <x:c r="I63" s="40"/>
      <x:c r="J63" s="47"/>
      <x:c r="K63" s="47"/>
      <x:c r="L63" s="42"/>
      <x:c r="M63" s="50"/>
      <x:c r="N63" s="42"/>
    </x:row>
    <x:row r="64" ht="42" customHeight="1">
      <x:c r="A64" s="42"/>
      <x:c r="B64" s="42"/>
      <x:c r="C64" s="42"/>
      <x:c r="D64" s="42"/>
      <x:c r="E64" s="40"/>
      <x:c r="F64" s="47"/>
      <x:c r="G64" s="47"/>
      <x:c r="H64" s="47"/>
      <x:c r="I64" s="40"/>
      <x:c r="J64" s="47"/>
      <x:c r="K64" s="47"/>
      <x:c r="L64" s="42"/>
      <x:c r="M64" s="50"/>
      <x:c r="N64" s="42"/>
    </x:row>
    <x:row r="65" ht="42" customHeight="1">
      <x:c r="A65" s="42"/>
      <x:c r="B65" s="42"/>
      <x:c r="C65" s="42"/>
      <x:c r="D65" s="42"/>
      <x:c r="E65" s="40"/>
      <x:c r="F65" s="47"/>
      <x:c r="G65" s="47"/>
      <x:c r="H65" s="47"/>
      <x:c r="I65" s="40"/>
      <x:c r="J65" s="47"/>
      <x:c r="K65" s="47"/>
      <x:c r="L65" s="42"/>
      <x:c r="M65" s="50"/>
      <x:c r="N65" s="42"/>
    </x:row>
    <x:row r="66" ht="42" customHeight="1">
      <x:c r="A66" s="42"/>
      <x:c r="B66" s="42"/>
      <x:c r="C66" s="42"/>
      <x:c r="D66" s="42"/>
      <x:c r="E66" s="40"/>
      <x:c r="F66" s="47"/>
      <x:c r="G66" s="47"/>
      <x:c r="H66" s="47"/>
      <x:c r="I66" s="40"/>
      <x:c r="J66" s="47"/>
      <x:c r="K66" s="47"/>
      <x:c r="L66" s="42"/>
      <x:c r="M66" s="50"/>
      <x:c r="N66" s="42"/>
    </x:row>
    <x:row r="67" ht="42" customHeight="1">
      <x:c r="A67" s="42"/>
      <x:c r="B67" s="42"/>
      <x:c r="C67" s="42"/>
      <x:c r="D67" s="42"/>
      <x:c r="E67" s="40"/>
      <x:c r="F67" s="47"/>
      <x:c r="G67" s="47"/>
      <x:c r="H67" s="47"/>
      <x:c r="I67" s="40"/>
      <x:c r="J67" s="47"/>
      <x:c r="K67" s="47"/>
      <x:c r="L67" s="42"/>
      <x:c r="M67" s="50"/>
      <x:c r="N67" s="42"/>
    </x:row>
    <x:row r="68" ht="42" customHeight="1">
      <x:c r="A68" s="42"/>
      <x:c r="B68" s="42"/>
      <x:c r="C68" s="42"/>
      <x:c r="D68" s="42"/>
      <x:c r="E68" s="40"/>
      <x:c r="F68" s="47"/>
      <x:c r="G68" s="47"/>
      <x:c r="H68" s="47"/>
      <x:c r="I68" s="40"/>
      <x:c r="J68" s="47"/>
      <x:c r="K68" s="47"/>
      <x:c r="L68" s="42"/>
      <x:c r="M68" s="50"/>
      <x:c r="N68" s="42"/>
    </x:row>
    <x:row r="69" ht="42" customHeight="1">
      <x:c r="A69" s="42"/>
      <x:c r="B69" s="42"/>
      <x:c r="C69" s="42"/>
      <x:c r="D69" s="42"/>
      <x:c r="E69" s="40"/>
      <x:c r="F69" s="47"/>
      <x:c r="G69" s="47"/>
      <x:c r="H69" s="47"/>
      <x:c r="I69" s="40"/>
      <x:c r="J69" s="47"/>
      <x:c r="K69" s="47"/>
      <x:c r="L69" s="42"/>
      <x:c r="M69" s="50"/>
      <x:c r="N69" s="42"/>
    </x:row>
    <x:row r="70" ht="42" customHeight="1">
      <x:c r="A70" s="42"/>
      <x:c r="B70" s="42"/>
      <x:c r="C70" s="42"/>
      <x:c r="D70" s="42"/>
      <x:c r="E70" s="40"/>
      <x:c r="F70" s="47"/>
      <x:c r="G70" s="47"/>
      <x:c r="H70" s="47"/>
      <x:c r="I70" s="40"/>
      <x:c r="J70" s="47"/>
      <x:c r="K70" s="47"/>
      <x:c r="L70" s="42"/>
      <x:c r="M70" s="50"/>
      <x:c r="N70" s="42"/>
    </x:row>
    <x:row r="71" ht="42" customHeight="1">
      <x:c r="A71" s="42"/>
      <x:c r="B71" s="42"/>
      <x:c r="C71" s="42"/>
      <x:c r="D71" s="42"/>
      <x:c r="E71" s="40"/>
      <x:c r="F71" s="47"/>
      <x:c r="G71" s="47"/>
      <x:c r="H71" s="47"/>
      <x:c r="I71" s="40"/>
      <x:c r="J71" s="47"/>
      <x:c r="K71" s="47"/>
      <x:c r="L71" s="42"/>
      <x:c r="M71" s="50"/>
      <x:c r="N71" s="42"/>
    </x:row>
    <x:row r="72" ht="42" customHeight="1">
      <x:c r="A72" s="42"/>
      <x:c r="B72" s="42"/>
      <x:c r="C72" s="42"/>
      <x:c r="D72" s="42"/>
      <x:c r="E72" s="40"/>
      <x:c r="F72" s="47"/>
      <x:c r="G72" s="47"/>
      <x:c r="H72" s="47"/>
      <x:c r="I72" s="40"/>
      <x:c r="J72" s="47"/>
      <x:c r="K72" s="47"/>
      <x:c r="L72" s="42"/>
      <x:c r="M72" s="50"/>
      <x:c r="N72" s="42"/>
    </x:row>
    <x:row r="73" ht="42" customHeight="1">
      <x:c r="A73" s="42"/>
      <x:c r="B73" s="42"/>
      <x:c r="C73" s="42"/>
      <x:c r="D73" s="42"/>
      <x:c r="E73" s="40"/>
      <x:c r="F73" s="47"/>
      <x:c r="G73" s="47"/>
      <x:c r="H73" s="47"/>
      <x:c r="I73" s="40"/>
      <x:c r="J73" s="47"/>
      <x:c r="K73" s="47"/>
      <x:c r="L73" s="42"/>
      <x:c r="M73" s="50"/>
      <x:c r="N73" s="42"/>
    </x:row>
    <x:row r="74" ht="42" customHeight="1">
      <x:c r="A74" s="42"/>
      <x:c r="B74" s="42"/>
      <x:c r="C74" s="42"/>
      <x:c r="D74" s="42"/>
      <x:c r="E74" s="40"/>
      <x:c r="F74" s="47"/>
      <x:c r="G74" s="47"/>
      <x:c r="H74" s="47"/>
      <x:c r="I74" s="40"/>
      <x:c r="J74" s="47"/>
      <x:c r="K74" s="47"/>
      <x:c r="L74" s="42"/>
      <x:c r="M74" s="50"/>
      <x:c r="N74" s="42"/>
    </x:row>
    <x:row r="75" ht="42" customHeight="1">
      <x:c r="A75" s="42"/>
      <x:c r="B75" s="42"/>
      <x:c r="C75" s="42"/>
      <x:c r="D75" s="42"/>
      <x:c r="E75" s="40"/>
      <x:c r="F75" s="47"/>
      <x:c r="G75" s="47"/>
      <x:c r="H75" s="47"/>
      <x:c r="I75" s="40"/>
      <x:c r="J75" s="47"/>
      <x:c r="K75" s="47"/>
      <x:c r="L75" s="42"/>
      <x:c r="M75" s="50"/>
      <x:c r="N75" s="42"/>
    </x:row>
    <x:row r="76" ht="42" customHeight="1">
      <x:c r="A76" s="42"/>
      <x:c r="B76" s="42"/>
      <x:c r="C76" s="42"/>
      <x:c r="D76" s="42"/>
      <x:c r="E76" s="40"/>
      <x:c r="F76" s="47"/>
      <x:c r="G76" s="47"/>
      <x:c r="H76" s="47"/>
      <x:c r="I76" s="40"/>
      <x:c r="J76" s="47"/>
      <x:c r="K76" s="47"/>
      <x:c r="L76" s="42"/>
      <x:c r="M76" s="50"/>
      <x:c r="N76" s="42"/>
    </x:row>
    <x:row r="77" ht="42" customHeight="1">
      <x:c r="A77" s="42"/>
      <x:c r="B77" s="42"/>
      <x:c r="C77" s="42"/>
      <x:c r="D77" s="42"/>
      <x:c r="E77" s="40"/>
      <x:c r="F77" s="47"/>
      <x:c r="G77" s="47"/>
      <x:c r="H77" s="47"/>
      <x:c r="I77" s="40"/>
      <x:c r="J77" s="47"/>
      <x:c r="K77" s="47"/>
      <x:c r="L77" s="42"/>
      <x:c r="M77" s="50"/>
      <x:c r="N77" s="42"/>
    </x:row>
    <x:row r="78" ht="42" customHeight="1">
      <x:c r="A78" s="42"/>
      <x:c r="B78" s="42"/>
      <x:c r="C78" s="42"/>
      <x:c r="D78" s="42"/>
      <x:c r="E78" s="40"/>
      <x:c r="F78" s="47"/>
      <x:c r="G78" s="47"/>
      <x:c r="H78" s="47"/>
      <x:c r="I78" s="40"/>
      <x:c r="J78" s="47"/>
      <x:c r="K78" s="47"/>
      <x:c r="L78" s="42"/>
      <x:c r="M78" s="50"/>
      <x:c r="N78" s="42"/>
    </x:row>
    <x:row r="79" ht="42" customHeight="1">
      <x:c r="A79" s="42"/>
      <x:c r="B79" s="42"/>
      <x:c r="C79" s="42"/>
      <x:c r="D79" s="42"/>
      <x:c r="E79" s="40"/>
      <x:c r="F79" s="47"/>
      <x:c r="G79" s="47"/>
      <x:c r="H79" s="47"/>
      <x:c r="I79" s="40"/>
      <x:c r="J79" s="47"/>
      <x:c r="K79" s="47"/>
      <x:c r="L79" s="42"/>
      <x:c r="M79" s="50"/>
      <x:c r="N79" s="42"/>
    </x:row>
    <x:row r="80" ht="42" customHeight="1">
      <x:c r="A80" s="42"/>
      <x:c r="B80" s="42"/>
      <x:c r="C80" s="42"/>
      <x:c r="D80" s="42"/>
      <x:c r="E80" s="40"/>
      <x:c r="F80" s="47"/>
      <x:c r="G80" s="47"/>
      <x:c r="H80" s="47"/>
      <x:c r="I80" s="40"/>
      <x:c r="J80" s="47"/>
      <x:c r="K80" s="47"/>
      <x:c r="L80" s="42"/>
      <x:c r="M80" s="50"/>
      <x:c r="N80" s="42"/>
    </x:row>
    <x:row r="81" ht="42" customHeight="1">
      <x:c r="A81" s="42"/>
      <x:c r="B81" s="42"/>
      <x:c r="C81" s="42"/>
      <x:c r="D81" s="42"/>
      <x:c r="E81" s="40"/>
      <x:c r="F81" s="47"/>
      <x:c r="G81" s="47"/>
      <x:c r="H81" s="47"/>
      <x:c r="I81" s="40"/>
      <x:c r="J81" s="47"/>
      <x:c r="K81" s="47"/>
      <x:c r="L81" s="42"/>
      <x:c r="M81" s="50"/>
      <x:c r="N81" s="42"/>
    </x:row>
    <x:row r="82" ht="42" customHeight="1">
      <x:c r="A82" s="42"/>
      <x:c r="B82" s="42"/>
      <x:c r="C82" s="42"/>
      <x:c r="D82" s="42"/>
      <x:c r="E82" s="40"/>
      <x:c r="F82" s="47"/>
      <x:c r="G82" s="47"/>
      <x:c r="H82" s="47"/>
      <x:c r="I82" s="40"/>
      <x:c r="J82" s="47"/>
      <x:c r="K82" s="47"/>
      <x:c r="L82" s="42"/>
      <x:c r="M82" s="50"/>
      <x:c r="N82" s="42"/>
    </x:row>
    <x:row r="83" ht="42" customHeight="1">
      <x:c r="A83" s="42"/>
      <x:c r="B83" s="42"/>
      <x:c r="C83" s="42"/>
      <x:c r="D83" s="42"/>
      <x:c r="E83" s="40"/>
      <x:c r="F83" s="47"/>
      <x:c r="G83" s="47"/>
      <x:c r="H83" s="47"/>
      <x:c r="I83" s="40"/>
      <x:c r="J83" s="47"/>
      <x:c r="K83" s="47"/>
      <x:c r="L83" s="42"/>
      <x:c r="M83" s="50"/>
      <x:c r="N83" s="42"/>
    </x:row>
    <x:row r="84" ht="42" customHeight="1">
      <x:c r="A84" s="42"/>
      <x:c r="B84" s="42"/>
      <x:c r="C84" s="42"/>
      <x:c r="D84" s="42"/>
      <x:c r="E84" s="40"/>
      <x:c r="F84" s="47"/>
      <x:c r="G84" s="47"/>
      <x:c r="H84" s="47"/>
      <x:c r="I84" s="40"/>
      <x:c r="J84" s="47"/>
      <x:c r="K84" s="47"/>
      <x:c r="L84" s="42"/>
      <x:c r="M84" s="50"/>
      <x:c r="N84" s="42"/>
    </x:row>
    <x:row r="85" ht="42" customHeight="1">
      <x:c r="A85" s="42"/>
      <x:c r="B85" s="42"/>
      <x:c r="C85" s="42"/>
      <x:c r="D85" s="42"/>
      <x:c r="E85" s="40"/>
      <x:c r="F85" s="47"/>
      <x:c r="G85" s="47"/>
      <x:c r="H85" s="47"/>
      <x:c r="I85" s="40"/>
      <x:c r="J85" s="47"/>
      <x:c r="K85" s="47"/>
      <x:c r="L85" s="42"/>
      <x:c r="M85" s="50"/>
      <x:c r="N85" s="42"/>
    </x:row>
    <x:row r="86" ht="42" customHeight="1">
      <x:c r="A86" s="42"/>
      <x:c r="B86" s="42"/>
      <x:c r="C86" s="42"/>
      <x:c r="D86" s="42"/>
      <x:c r="E86" s="40"/>
      <x:c r="F86" s="47"/>
      <x:c r="G86" s="47"/>
      <x:c r="H86" s="47"/>
      <x:c r="I86" s="40"/>
      <x:c r="J86" s="47"/>
      <x:c r="K86" s="47"/>
      <x:c r="L86" s="42"/>
      <x:c r="M86" s="50"/>
      <x:c r="N86" s="42"/>
    </x:row>
    <x:row r="87" ht="42" customHeight="1">
      <x:c r="A87" s="42"/>
      <x:c r="B87" s="42"/>
      <x:c r="C87" s="42"/>
      <x:c r="D87" s="42"/>
      <x:c r="E87" s="40"/>
      <x:c r="F87" s="47"/>
      <x:c r="G87" s="47"/>
      <x:c r="H87" s="47"/>
      <x:c r="I87" s="40"/>
      <x:c r="J87" s="47"/>
      <x:c r="K87" s="47"/>
      <x:c r="L87" s="42"/>
      <x:c r="M87" s="50"/>
      <x:c r="N87" s="42"/>
    </x:row>
    <x:row r="88" ht="42" customHeight="1">
      <x:c r="A88" s="42"/>
      <x:c r="B88" s="42"/>
      <x:c r="C88" s="42"/>
      <x:c r="D88" s="42"/>
      <x:c r="E88" s="40"/>
      <x:c r="F88" s="47"/>
      <x:c r="G88" s="47"/>
      <x:c r="H88" s="47"/>
      <x:c r="I88" s="40"/>
      <x:c r="J88" s="47"/>
      <x:c r="K88" s="47"/>
      <x:c r="L88" s="42"/>
      <x:c r="M88" s="50"/>
      <x:c r="N88" s="42"/>
    </x:row>
    <x:row r="89" ht="42" customHeight="1">
      <x:c r="A89" s="42"/>
      <x:c r="B89" s="42"/>
      <x:c r="C89" s="42"/>
      <x:c r="D89" s="42"/>
      <x:c r="E89" s="40"/>
      <x:c r="F89" s="47"/>
      <x:c r="G89" s="47"/>
      <x:c r="H89" s="47"/>
      <x:c r="I89" s="40"/>
      <x:c r="J89" s="47"/>
      <x:c r="K89" s="47"/>
      <x:c r="L89" s="42"/>
      <x:c r="M89" s="50"/>
      <x:c r="N89" s="42"/>
    </x:row>
    <x:row r="90" ht="42" customHeight="1">
      <x:c r="A90" s="42"/>
      <x:c r="B90" s="42"/>
      <x:c r="C90" s="42"/>
      <x:c r="D90" s="42"/>
      <x:c r="E90" s="40"/>
      <x:c r="F90" s="47"/>
      <x:c r="G90" s="47"/>
      <x:c r="H90" s="47"/>
      <x:c r="I90" s="40"/>
      <x:c r="J90" s="47"/>
      <x:c r="K90" s="47"/>
      <x:c r="L90" s="42"/>
      <x:c r="M90" s="50"/>
      <x:c r="N90" s="42"/>
    </x:row>
    <x:row r="91" ht="42" customHeight="1">
      <x:c r="A91" s="42"/>
      <x:c r="B91" s="42"/>
      <x:c r="C91" s="42"/>
      <x:c r="D91" s="42"/>
      <x:c r="E91" s="40"/>
      <x:c r="F91" s="47"/>
      <x:c r="G91" s="47"/>
      <x:c r="H91" s="47"/>
      <x:c r="I91" s="40"/>
      <x:c r="J91" s="47"/>
      <x:c r="K91" s="47"/>
      <x:c r="L91" s="42"/>
      <x:c r="M91" s="50"/>
      <x:c r="N91" s="42"/>
    </x:row>
    <x:row r="92" ht="42" customHeight="1">
      <x:c r="A92" s="42"/>
      <x:c r="B92" s="42"/>
      <x:c r="C92" s="42"/>
      <x:c r="D92" s="42"/>
      <x:c r="E92" s="40"/>
      <x:c r="F92" s="47"/>
      <x:c r="G92" s="47"/>
      <x:c r="H92" s="47"/>
      <x:c r="I92" s="40"/>
      <x:c r="J92" s="47"/>
      <x:c r="K92" s="47"/>
      <x:c r="L92" s="42"/>
      <x:c r="M92" s="50"/>
      <x:c r="N92" s="42"/>
    </x:row>
    <x:row r="93" ht="42" customHeight="1">
      <x:c r="A93" s="42"/>
      <x:c r="B93" s="42"/>
      <x:c r="C93" s="42"/>
      <x:c r="D93" s="42"/>
      <x:c r="E93" s="40"/>
      <x:c r="F93" s="47"/>
      <x:c r="G93" s="47"/>
      <x:c r="H93" s="47"/>
      <x:c r="I93" s="40"/>
      <x:c r="J93" s="47"/>
      <x:c r="K93" s="47"/>
      <x:c r="L93" s="42"/>
      <x:c r="M93" s="50"/>
      <x:c r="N93" s="42"/>
    </x:row>
    <x:row r="94" ht="42" customHeight="1">
      <x:c r="A94" s="42"/>
      <x:c r="B94" s="42"/>
      <x:c r="C94" s="42"/>
      <x:c r="D94" s="42"/>
      <x:c r="E94" s="40"/>
      <x:c r="F94" s="47"/>
      <x:c r="G94" s="47"/>
      <x:c r="H94" s="47"/>
      <x:c r="I94" s="40"/>
      <x:c r="J94" s="47"/>
      <x:c r="K94" s="47"/>
      <x:c r="L94" s="42"/>
      <x:c r="M94" s="50"/>
      <x:c r="N94" s="42"/>
    </x:row>
    <x:row r="95" ht="42" customHeight="1">
      <x:c r="A95" s="42"/>
      <x:c r="B95" s="42"/>
      <x:c r="C95" s="42"/>
      <x:c r="D95" s="42"/>
      <x:c r="E95" s="40"/>
      <x:c r="F95" s="47"/>
      <x:c r="G95" s="47"/>
      <x:c r="H95" s="47"/>
      <x:c r="I95" s="40"/>
      <x:c r="J95" s="47"/>
      <x:c r="K95" s="47"/>
      <x:c r="L95" s="42"/>
      <x:c r="M95" s="50"/>
      <x:c r="N95" s="42"/>
    </x:row>
    <x:row r="96" ht="42" customHeight="1">
      <x:c r="A96" s="42"/>
      <x:c r="B96" s="42"/>
      <x:c r="C96" s="42"/>
      <x:c r="D96" s="42"/>
      <x:c r="E96" s="40"/>
      <x:c r="F96" s="47"/>
      <x:c r="G96" s="47"/>
      <x:c r="H96" s="47"/>
      <x:c r="I96" s="40"/>
      <x:c r="J96" s="47"/>
      <x:c r="K96" s="47"/>
      <x:c r="L96" s="42"/>
      <x:c r="M96" s="50"/>
      <x:c r="N96" s="42"/>
    </x:row>
    <x:row r="97" ht="42" customHeight="1">
      <x:c r="A97" s="42"/>
      <x:c r="B97" s="42"/>
      <x:c r="C97" s="42"/>
      <x:c r="D97" s="42"/>
      <x:c r="E97" s="40"/>
      <x:c r="F97" s="47"/>
      <x:c r="G97" s="47"/>
      <x:c r="H97" s="47"/>
      <x:c r="I97" s="40"/>
      <x:c r="J97" s="47"/>
      <x:c r="K97" s="47"/>
      <x:c r="L97" s="42"/>
      <x:c r="M97" s="50"/>
      <x:c r="N97" s="42"/>
    </x:row>
    <x:row r="98" ht="42" customHeight="1">
      <x:c r="A98" s="42"/>
      <x:c r="B98" s="42"/>
      <x:c r="C98" s="42"/>
      <x:c r="D98" s="42"/>
      <x:c r="E98" s="40"/>
      <x:c r="F98" s="47"/>
      <x:c r="G98" s="47"/>
      <x:c r="H98" s="47"/>
      <x:c r="I98" s="40"/>
      <x:c r="J98" s="47"/>
      <x:c r="K98" s="47"/>
      <x:c r="L98" s="42"/>
      <x:c r="M98" s="50"/>
      <x:c r="N98" s="42"/>
    </x:row>
    <x:row r="99" ht="42" customHeight="1">
      <x:c r="A99" s="42"/>
      <x:c r="B99" s="42"/>
      <x:c r="C99" s="42"/>
      <x:c r="D99" s="42"/>
      <x:c r="E99" s="40"/>
      <x:c r="F99" s="47"/>
      <x:c r="G99" s="47"/>
      <x:c r="H99" s="47"/>
      <x:c r="I99" s="40"/>
      <x:c r="J99" s="47"/>
      <x:c r="K99" s="47"/>
      <x:c r="L99" s="42"/>
      <x:c r="M99" s="50"/>
      <x:c r="N99" s="42"/>
    </x:row>
    <x:row r="100" ht="42" customHeight="1">
      <x:c r="A100" s="42"/>
      <x:c r="B100" s="42"/>
      <x:c r="C100" s="42"/>
      <x:c r="D100" s="42"/>
      <x:c r="E100" s="40"/>
      <x:c r="F100" s="47"/>
      <x:c r="G100" s="47"/>
      <x:c r="H100" s="47"/>
      <x:c r="I100" s="40"/>
      <x:c r="J100" s="47"/>
      <x:c r="K100" s="47"/>
      <x:c r="L100" s="42"/>
      <x:c r="M100" s="50"/>
      <x:c r="N100" s="42"/>
    </x:row>
    <x:row r="101" ht="42" customHeight="1">
      <x:c r="A101" s="42"/>
      <x:c r="B101" s="42"/>
      <x:c r="C101" s="42"/>
      <x:c r="D101" s="42"/>
      <x:c r="E101" s="40"/>
      <x:c r="F101" s="47"/>
      <x:c r="G101" s="47"/>
      <x:c r="H101" s="47"/>
      <x:c r="I101" s="40"/>
      <x:c r="J101" s="47"/>
      <x:c r="K101" s="47"/>
      <x:c r="L101" s="42"/>
      <x:c r="M101" s="50"/>
      <x:c r="N101" s="42"/>
    </x:row>
    <x:row r="102" ht="42" customHeight="1">
      <x:c r="A102" s="42"/>
      <x:c r="B102" s="42"/>
      <x:c r="C102" s="42"/>
      <x:c r="D102" s="42"/>
      <x:c r="E102" s="40"/>
      <x:c r="F102" s="47"/>
      <x:c r="G102" s="47"/>
      <x:c r="H102" s="47"/>
      <x:c r="I102" s="40"/>
      <x:c r="J102" s="47"/>
      <x:c r="K102" s="47"/>
      <x:c r="L102" s="42"/>
      <x:c r="M102" s="50"/>
      <x:c r="N102" s="42"/>
    </x:row>
    <x:row r="103" ht="42" customHeight="1">
      <x:c r="A103" s="42"/>
      <x:c r="B103" s="42"/>
      <x:c r="C103" s="42"/>
      <x:c r="D103" s="42"/>
      <x:c r="E103" s="40"/>
      <x:c r="F103" s="47"/>
      <x:c r="G103" s="47"/>
      <x:c r="H103" s="47"/>
      <x:c r="I103" s="40"/>
      <x:c r="J103" s="47"/>
      <x:c r="K103" s="47"/>
      <x:c r="L103" s="42"/>
      <x:c r="M103" s="50"/>
      <x:c r="N103" s="42"/>
    </x:row>
    <x:row r="104" ht="42" customHeight="1">
      <x:c r="A104" s="45"/>
      <x:c r="B104" s="45"/>
      <x:c r="C104" s="45"/>
      <x:c r="D104" s="45"/>
      <x:c r="E104" s="43"/>
      <x:c r="F104" s="48"/>
      <x:c r="G104" s="48"/>
      <x:c r="H104" s="48"/>
      <x:c r="I104" s="43"/>
      <x:c r="J104" s="48"/>
      <x:c r="K104" s="48"/>
      <x:c r="L104" s="45"/>
      <x:c r="M104" s="51"/>
      <x:c r="N104" s="45"/>
    </x:row>
  </x:sheetData>
  <x:conditionalFormatting sqref="E5:E104">
    <x:cfRule type="containsText" dxfId="5" priority="1" operator="containsText" text="A"/>
    <x:cfRule type="containsText" dxfId="6" priority="2" operator="containsText" text="B"/>
    <x:cfRule type="containsText" dxfId="7" priority="3" operator="containsText" text="C"/>
  </x:conditionalFormatting>
  <x:conditionalFormatting sqref="I5:I104">
    <x:cfRule type="containsText" dxfId="8" priority="4" operator="containsText" text="Offer"/>
    <x:cfRule type="containsText" dxfId="9" priority="5" operator="containsText" text="拒绝"/>
  </x:conditionalFormatting>
  <x:dataValidations count="2">
    <x:dataValidation type="list" sqref="E5:E104">
      <x:formula1>"A,B,C"</x:formula1>
    </x:dataValidation>
    <x:dataValidation type="list" sqref="I5:I104">
      <x:formula1>"未投递,已投递,笔试,面试,拒绝,Offer,已撤回"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1be7f9ea8d4e1b"/>
  </x:tableParts>
</x:worksheet>
</file>

<file path=xl/worksheets/sheet3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38" hidden="0" customWidth="1"/>
    <x:col min="5" max="5" width="44" hidden="0" customWidth="1"/>
    <x:col min="6" max="6" width="10" hidden="0" customWidth="1"/>
    <x:col min="7" max="7" width="42" hidden="0" customWidth="1"/>
    <x:col min="8" max="8" width="12" hidden="0" customWidth="1"/>
    <x:col min="9" max="9" width="14" hidden="0" customWidth="1"/>
    <x:col min="10" max="10" width="11" hidden="0" customWidth="1"/>
  </x:cols>
  <x:sheetData>
    <x:row r="1" ht="24" customHeight="1">
      <x:c r="A1" s="7" t="str">
        <x:v>技能差距与改进计划</x:v>
      </x:c>
      <x:c r="B1" s="7"/>
      <x:c r="C1" s="7"/>
      <x:c r="D1" s="7"/>
      <x:c r="E1" s="7"/>
      <x:c r="F1" s="7"/>
      <x:c r="G1" s="7"/>
      <x:c r="H1" s="7"/>
      <x:c r="I1" s="7"/>
      <x:c r="J1" s="7"/>
    </x:row>
    <x:row r="2" ht="24" customHeight="1">
      <x:c r="A2" s="4" t="str">
        <x:v>初始水平来自现有项目和课程背景。以后使用真实 JD、笔试、面试和项目结果更新，不以观看教程替代完成。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4" ht="34" customHeight="1">
      <x:c r="A4" s="13" t="str">
        <x:v>技能</x:v>
      </x:c>
      <x:c r="B4" s="14" t="str">
        <x:v>技能类别</x:v>
      </x:c>
      <x:c r="C4" s="14" t="str">
        <x:v>当前水平</x:v>
      </x:c>
      <x:c r="D4" s="14" t="str">
        <x:v>证据/现状</x:v>
      </x:c>
      <x:c r="E4" s="14" t="str">
        <x:v>差距说明</x:v>
      </x:c>
      <x:c r="F4" s="14" t="str">
        <x:v>优先级</x:v>
      </x:c>
      <x:c r="G4" s="14" t="str">
        <x:v>改进任务</x:v>
      </x:c>
      <x:c r="H4" s="14" t="str">
        <x:v>目标日期</x:v>
      </x:c>
      <x:c r="I4" s="14" t="str">
        <x:v>状态</x:v>
      </x:c>
      <x:c r="J4" s="15" t="str">
        <x:v>完成率</x:v>
      </x:c>
    </x:row>
    <x:row r="5" ht="56" customHeight="1">
      <x:c r="A5" s="19" t="str">
        <x:v>Python 工程</x:v>
      </x:c>
      <x:c r="B5" s="19" t="str">
        <x:v>工程基础</x:v>
      </x:c>
      <x:c r="C5" s="19" t="str">
        <x:v>可用但需复习</x:v>
      </x:c>
      <x:c r="D5" s="19" t="str">
        <x:v>已有 Python、ML/DL 与 CV 项目经验</x:v>
      </x:c>
      <x:c r="E5" s="19" t="str">
        <x:v>需要加强项目结构、异常处理、测试和可维护性</x:v>
      </x:c>
      <x:c r="F5" s="19" t="str">
        <x:v>中</x:v>
      </x:c>
      <x:c r="G5" s="19" t="str">
        <x:v>在主项目中补齐类型、异常处理和最小测试</x:v>
      </x:c>
      <x:c r="H5" s="22" t="n">
        <x:v>46305</x:v>
      </x:c>
      <x:c r="I5" s="39" t="str">
        <x:v>未开始</x:v>
      </x:c>
      <x:c r="J5" s="55" t="n">
        <x:v>0</x:v>
      </x:c>
    </x:row>
    <x:row r="6" ht="56" customHeight="1">
      <x:c r="A6" s="20" t="str">
        <x:v>TypeScript / React</x:v>
      </x:c>
      <x:c r="B6" s="20" t="str">
        <x:v>前端</x:v>
      </x:c>
      <x:c r="C6" s="20" t="str">
        <x:v>强项</x:v>
      </x:c>
      <x:c r="D6" s="20" t="str">
        <x:v>已有完整 React/TypeScript 应用经验</x:v>
      </x:c>
      <x:c r="E6" s="20" t="str">
        <x:v>需要完成 AI 项目前后端集成与流式体验</x:v>
      </x:c>
      <x:c r="F6" s="20" t="str">
        <x:v>中</x:v>
      </x:c>
      <x:c r="G6" s="20" t="str">
        <x:v>完成 React chat UI 与 FastAPI 集成</x:v>
      </x:c>
      <x:c r="H6" s="23" t="n">
        <x:v>46296</x:v>
      </x:c>
      <x:c r="I6" s="42" t="str">
        <x:v>未开始</x:v>
      </x:c>
      <x:c r="J6" s="56" t="n">
        <x:v>0</x:v>
      </x:c>
    </x:row>
    <x:row r="7" ht="56" customHeight="1">
      <x:c r="A7" s="20" t="str">
        <x:v>REST API</x:v>
      </x:c>
      <x:c r="B7" s="20" t="str">
        <x:v>后端基础</x:v>
      </x:c>
      <x:c r="C7" s="20" t="str">
        <x:v>强项</x:v>
      </x:c>
      <x:c r="D7" s="20" t="str">
        <x:v>已有 REST API 集成经验</x:v>
      </x:c>
      <x:c r="E7" s="20" t="str">
        <x:v>需要结合 FastAPI、异步和 AI 请求时延处理</x:v>
      </x:c>
      <x:c r="F7" s="20" t="str">
        <x:v>中</x:v>
      </x:c>
      <x:c r="G7" s="20" t="str">
        <x:v>实现 /chat、/upload 和错误响应</x:v>
      </x:c>
      <x:c r="H7" s="23" t="n">
        <x:v>46295</x:v>
      </x:c>
      <x:c r="I7" s="42" t="str">
        <x:v>未开始</x:v>
      </x:c>
      <x:c r="J7" s="56" t="n">
        <x:v>0</x:v>
      </x:c>
    </x:row>
    <x:row r="8" ht="56" customHeight="1">
      <x:c r="A8" s="20" t="str">
        <x:v>SQL</x:v>
      </x:c>
      <x:c r="B8" s="20" t="str">
        <x:v>数据</x:v>
      </x:c>
      <x:c r="C8" s="20" t="str">
        <x:v>可用但需复习</x:v>
      </x:c>
      <x:c r="D8" s="20" t="str">
        <x:v>掌握 SQL basics</x:v>
      </x:c>
      <x:c r="E8" s="20" t="str">
        <x:v>需要复习 JOIN、GROUP BY、Index、Transaction 并作为 Agent Tool 使用</x:v>
      </x:c>
      <x:c r="F8" s="20" t="str">
        <x:v>高</x:v>
      </x:c>
      <x:c r="G8" s="20" t="str">
        <x:v>完成 SQL Tool 和 5 个代表性查询</x:v>
      </x:c>
      <x:c r="H8" s="23" t="n">
        <x:v>46306</x:v>
      </x:c>
      <x:c r="I8" s="42" t="str">
        <x:v>未开始</x:v>
      </x:c>
      <x:c r="J8" s="56" t="n">
        <x:v>0</x:v>
      </x:c>
    </x:row>
    <x:row r="9" ht="56" customHeight="1">
      <x:c r="A9" s="20" t="str">
        <x:v>LLM API</x:v>
      </x:c>
      <x:c r="B9" s="20" t="str">
        <x:v>LLM 应用</x:v>
      </x:c>
      <x:c r="C9" s="20" t="str">
        <x:v>薄弱</x:v>
      </x:c>
      <x:c r="D9" s="20" t="str">
        <x:v>实践经验不足</x:v>
      </x:c>
      <x:c r="E9" s="20" t="str">
        <x:v>需掌握请求、响应、参数、上下文和错误处理</x:v>
      </x:c>
      <x:c r="F9" s="20" t="str">
        <x:v>高</x:v>
      </x:c>
      <x:c r="G9" s="20" t="str">
        <x:v>完成最小 Python 调用并接入项目</x:v>
      </x:c>
      <x:c r="H9" s="23" t="n">
        <x:v>46281</x:v>
      </x:c>
      <x:c r="I9" s="42" t="str">
        <x:v>未开始</x:v>
      </x:c>
      <x:c r="J9" s="56" t="n">
        <x:v>0</x:v>
      </x:c>
    </x:row>
    <x:row r="10" ht="56" customHeight="1">
      <x:c r="A10" s="20" t="str">
        <x:v>Prompt design</x:v>
      </x:c>
      <x:c r="B10" s="20" t="str">
        <x:v>LLM 应用</x:v>
      </x:c>
      <x:c r="C10" s="20" t="str">
        <x:v>薄弱</x:v>
      </x:c>
      <x:c r="D10" s="20" t="str">
        <x:v>了解概念，缺少项目化实践</x:v>
      </x:c>
      <x:c r="E10" s="20" t="str">
        <x:v>需要掌握 System/User messages、上下文组织和失败分析</x:v>
      </x:c>
      <x:c r="F10" s="20" t="str">
        <x:v>高</x:v>
      </x:c>
      <x:c r="G10" s="20" t="str">
        <x:v>在 RAG 与工具调用中记录 Prompt 版本</x:v>
      </x:c>
      <x:c r="H10" s="23" t="n">
        <x:v>46287</x:v>
      </x:c>
      <x:c r="I10" s="42" t="str">
        <x:v>未开始</x:v>
      </x:c>
      <x:c r="J10" s="56" t="n">
        <x:v>0</x:v>
      </x:c>
    </x:row>
    <x:row r="11" ht="56" customHeight="1">
      <x:c r="A11" s="20" t="str">
        <x:v>Structured Output</x:v>
      </x:c>
      <x:c r="B11" s="20" t="str">
        <x:v>LLM 应用</x:v>
      </x:c>
      <x:c r="C11" s="20" t="str">
        <x:v>薄弱</x:v>
      </x:c>
      <x:c r="D11" s="20" t="str">
        <x:v>尚无稳定工程实现</x:v>
      </x:c>
      <x:c r="E11" s="20" t="str">
        <x:v>需要掌握 schema 约束、解析失败和验证</x:v>
      </x:c>
      <x:c r="F11" s="20" t="str">
        <x:v>高</x:v>
      </x:c>
      <x:c r="G11" s="20" t="str">
        <x:v>使用 Pydantic/JSON Schema 强制结构化输出</x:v>
      </x:c>
      <x:c r="H11" s="23" t="n">
        <x:v>46282</x:v>
      </x:c>
      <x:c r="I11" s="42" t="str">
        <x:v>未开始</x:v>
      </x:c>
      <x:c r="J11" s="56" t="n">
        <x:v>0</x:v>
      </x:c>
    </x:row>
    <x:row r="12" ht="56" customHeight="1">
      <x:c r="A12" s="20" t="str">
        <x:v>Pydantic / JSON Schema</x:v>
      </x:c>
      <x:c r="B12" s="20" t="str">
        <x:v>LLM 应用</x:v>
      </x:c>
      <x:c r="C12" s="20" t="str">
        <x:v>薄弱</x:v>
      </x:c>
      <x:c r="D12" s="20" t="str">
        <x:v>有 Python 基础，专项实践不足</x:v>
      </x:c>
      <x:c r="E12" s="20" t="str">
        <x:v>需要用于请求模型、工具参数和结构化输出</x:v>
      </x:c>
      <x:c r="F12" s="20" t="str">
        <x:v>高</x:v>
      </x:c>
      <x:c r="G12" s="20" t="str">
        <x:v>定义并验证项目中的请求和回答模型</x:v>
      </x:c>
      <x:c r="H12" s="23" t="n">
        <x:v>46282</x:v>
      </x:c>
      <x:c r="I12" s="42" t="str">
        <x:v>未开始</x:v>
      </x:c>
      <x:c r="J12" s="56" t="n">
        <x:v>0</x:v>
      </x:c>
    </x:row>
    <x:row r="13" ht="56" customHeight="1">
      <x:c r="A13" s="20" t="str">
        <x:v>Streaming</x:v>
      </x:c>
      <x:c r="B13" s="20" t="str">
        <x:v>LLM 应用</x:v>
      </x:c>
      <x:c r="C13" s="20" t="str">
        <x:v>缺失</x:v>
      </x:c>
      <x:c r="D13" s="20" t="str">
        <x:v>未形成可演示实现</x:v>
      </x:c>
      <x:c r="E13" s="20" t="str">
        <x:v>需要理解流式响应、前端显示和异常中断</x:v>
      </x:c>
      <x:c r="F13" s="20" t="str">
        <x:v>中</x:v>
      </x:c>
      <x:c r="G13" s="20" t="str">
        <x:v>完成一个最小 Streaming 示例</x:v>
      </x:c>
      <x:c r="H13" s="23" t="n">
        <x:v>46282</x:v>
      </x:c>
      <x:c r="I13" s="42" t="str">
        <x:v>未开始</x:v>
      </x:c>
      <x:c r="J13" s="56" t="n">
        <x:v>0</x:v>
      </x:c>
    </x:row>
    <x:row r="14" ht="56" customHeight="1">
      <x:c r="A14" s="20" t="str">
        <x:v>Embedding / Cosine Similarity</x:v>
      </x:c>
      <x:c r="B14" s="20" t="str">
        <x:v>RAG</x:v>
      </x:c>
      <x:c r="C14" s="20" t="str">
        <x:v>可用但需复习</x:v>
      </x:c>
      <x:c r="D14" s="20" t="str">
        <x:v>有 ML/DL 基础，应用实践不足</x:v>
      </x:c>
      <x:c r="E14" s="20" t="str">
        <x:v>需要能解释原理并完成语义检索</x:v>
      </x:c>
      <x:c r="F14" s="20" t="str">
        <x:v>高</x:v>
      </x:c>
      <x:c r="G14" s="20" t="str">
        <x:v>实现小型文本语义相似度搜索</x:v>
      </x:c>
      <x:c r="H14" s="23" t="n">
        <x:v>46283</x:v>
      </x:c>
      <x:c r="I14" s="42" t="str">
        <x:v>未开始</x:v>
      </x:c>
      <x:c r="J14" s="56" t="n">
        <x:v>0</x:v>
      </x:c>
    </x:row>
    <x:row r="15" ht="56" customHeight="1">
      <x:c r="A15" s="20" t="str">
        <x:v>PDF parsing / Chunking</x:v>
      </x:c>
      <x:c r="B15" s="20" t="str">
        <x:v>RAG</x:v>
      </x:c>
      <x:c r="C15" s="20" t="str">
        <x:v>薄弱</x:v>
      </x:c>
      <x:c r="D15" s="20" t="str">
        <x:v>缺少文档处理项目证据</x:v>
      </x:c>
      <x:c r="E15" s="20" t="str">
        <x:v>需要掌握 chunk size、overlap、metadata 和页码保留</x:v>
      </x:c>
      <x:c r="F15" s="20" t="str">
        <x:v>高</x:v>
      </x:c>
      <x:c r="G15" s="20" t="str">
        <x:v>实现 PDF 到 chunks 与 metadata</x:v>
      </x:c>
      <x:c r="H15" s="23" t="n">
        <x:v>46284</x:v>
      </x:c>
      <x:c r="I15" s="42" t="str">
        <x:v>未开始</x:v>
      </x:c>
      <x:c r="J15" s="56" t="n">
        <x:v>0</x:v>
      </x:c>
    </x:row>
    <x:row r="16" ht="56" customHeight="1">
      <x:c r="A16" s="20" t="str">
        <x:v>FAISS / Vector Search</x:v>
      </x:c>
      <x:c r="B16" s="20" t="str">
        <x:v>RAG</x:v>
      </x:c>
      <x:c r="C16" s="20" t="str">
        <x:v>薄弱</x:v>
      </x:c>
      <x:c r="D16" s="20" t="str">
        <x:v>向量数据库使用经验不足</x:v>
      </x:c>
      <x:c r="E16" s="20" t="str">
        <x:v>需要完成索引、Top-K 和基础 metadata filtering</x:v>
      </x:c>
      <x:c r="F16" s="20" t="str">
        <x:v>高</x:v>
      </x:c>
      <x:c r="G16" s="20" t="str">
        <x:v>实现 FAISS 检索并显示相似度和来源</x:v>
      </x:c>
      <x:c r="H16" s="23" t="n">
        <x:v>46285</x:v>
      </x:c>
      <x:c r="I16" s="42" t="str">
        <x:v>未开始</x:v>
      </x:c>
      <x:c r="J16" s="56" t="n">
        <x:v>0</x:v>
      </x:c>
    </x:row>
    <x:row r="17" ht="56" customHeight="1">
      <x:c r="A17" s="20" t="str">
        <x:v>RAG Pipeline</x:v>
      </x:c>
      <x:c r="B17" s="20" t="str">
        <x:v>RAG</x:v>
      </x:c>
      <x:c r="C17" s="20" t="str">
        <x:v>缺失</x:v>
      </x:c>
      <x:c r="D17" s="20" t="str">
        <x:v>尚无完整可运行项目</x:v>
      </x:c>
      <x:c r="E17" s="20" t="str">
        <x:v>需完成解析、检索、生成、引用和失败处理闭环</x:v>
      </x:c>
      <x:c r="F17" s="20" t="str">
        <x:v>高</x:v>
      </x:c>
      <x:c r="G17" s="20" t="str">
        <x:v>完成可运行 RAG V1</x:v>
      </x:c>
      <x:c r="H17" s="23" t="n">
        <x:v>46287</x:v>
      </x:c>
      <x:c r="I17" s="42" t="str">
        <x:v>未开始</x:v>
      </x:c>
      <x:c r="J17" s="56" t="n">
        <x:v>0</x:v>
      </x:c>
    </x:row>
    <x:row r="18" ht="56" customHeight="1">
      <x:c r="A18" s="20" t="str">
        <x:v>RAG Evaluation</x:v>
      </x:c>
      <x:c r="B18" s="20" t="str">
        <x:v>RAG</x:v>
      </x:c>
      <x:c r="C18" s="20" t="str">
        <x:v>缺失</x:v>
      </x:c>
      <x:c r="D18" s="20" t="str">
        <x:v>尚无测试集或测量数据</x:v>
      </x:c>
      <x:c r="E18" s="20" t="str">
        <x:v>需建立 QA 集和可重复评测流程</x:v>
      </x:c>
      <x:c r="F18" s="20" t="str">
        <x:v>高</x:v>
      </x:c>
      <x:c r="G18" s="20" t="str">
        <x:v>建立 20–30 条 QA 测试集并记录真实结果</x:v>
      </x:c>
      <x:c r="H18" s="23" t="n">
        <x:v>46300</x:v>
      </x:c>
      <x:c r="I18" s="42" t="str">
        <x:v>未开始</x:v>
      </x:c>
      <x:c r="J18" s="56" t="n">
        <x:v>0</x:v>
      </x:c>
    </x:row>
    <x:row r="19" ht="56" customHeight="1">
      <x:c r="A19" s="20" t="str">
        <x:v>Tool Calling</x:v>
      </x:c>
      <x:c r="B19" s="20" t="str">
        <x:v>Agent</x:v>
      </x:c>
      <x:c r="C19" s="20" t="str">
        <x:v>薄弱</x:v>
      </x:c>
      <x:c r="D19" s="20" t="str">
        <x:v>了解概念，缺少可靠实现</x:v>
      </x:c>
      <x:c r="E19" s="20" t="str">
        <x:v>需掌握工具 schema、参数校验、结果回传和错误处理</x:v>
      </x:c>
      <x:c r="F19" s="20" t="str">
        <x:v>高</x:v>
      </x:c>
      <x:c r="G19" s="20" t="str">
        <x:v>实现 Calculator Tool 并接入 Agent</x:v>
      </x:c>
      <x:c r="H19" s="23" t="n">
        <x:v>46288</x:v>
      </x:c>
      <x:c r="I19" s="42" t="str">
        <x:v>未开始</x:v>
      </x:c>
      <x:c r="J19" s="56" t="n">
        <x:v>0</x:v>
      </x:c>
    </x:row>
    <x:row r="20" ht="56" customHeight="1">
      <x:c r="A20" s="20" t="str">
        <x:v>Agent / ReAct</x:v>
      </x:c>
      <x:c r="B20" s="20" t="str">
        <x:v>Agent</x:v>
      </x:c>
      <x:c r="C20" s="20" t="str">
        <x:v>薄弱</x:v>
      </x:c>
      <x:c r="D20" s="20" t="str">
        <x:v>理论基础强于实践</x:v>
      </x:c>
      <x:c r="E20" s="20" t="str">
        <x:v>需掌握 Agent loop、停止条件和失败控制</x:v>
      </x:c>
      <x:c r="F20" s="20" t="str">
        <x:v>高</x:v>
      </x:c>
      <x:c r="G20" s="20" t="str">
        <x:v>实现带最大步数的 ReAct/Agent loop</x:v>
      </x:c>
      <x:c r="H20" s="23" t="n">
        <x:v>46289</x:v>
      </x:c>
      <x:c r="I20" s="42" t="str">
        <x:v>未开始</x:v>
      </x:c>
      <x:c r="J20" s="56" t="n">
        <x:v>0</x:v>
      </x:c>
    </x:row>
    <x:row r="21" ht="56" customHeight="1">
      <x:c r="A21" s="20" t="str">
        <x:v>LangGraph</x:v>
      </x:c>
      <x:c r="B21" s="20" t="str">
        <x:v>Agent</x:v>
      </x:c>
      <x:c r="C21" s="20" t="str">
        <x:v>缺失</x:v>
      </x:c>
      <x:c r="D21" s="20" t="str">
        <x:v>无项目证据</x:v>
      </x:c>
      <x:c r="E21" s="20" t="str">
        <x:v>需掌握 State、Node、Edge、Conditional Edge 和 Router</x:v>
      </x:c>
      <x:c r="F21" s="20" t="str">
        <x:v>高</x:v>
      </x:c>
      <x:c r="G21" s="20" t="str">
        <x:v>实现双节点图和 RAG/LLM Router</x:v>
      </x:c>
      <x:c r="H21" s="23" t="n">
        <x:v>46291</x:v>
      </x:c>
      <x:c r="I21" s="42" t="str">
        <x:v>未开始</x:v>
      </x:c>
      <x:c r="J21" s="56" t="n">
        <x:v>0</x:v>
      </x:c>
    </x:row>
    <x:row r="22" ht="56" customHeight="1">
      <x:c r="A22" s="20" t="str">
        <x:v>SQL Tool</x:v>
      </x:c>
      <x:c r="B22" s="20" t="str">
        <x:v>Agent</x:v>
      </x:c>
      <x:c r="C22" s="20" t="str">
        <x:v>缺失</x:v>
      </x:c>
      <x:c r="D22" s="20" t="str">
        <x:v>SQL basics 尚未转化为 Agent 工具</x:v>
      </x:c>
      <x:c r="E22" s="20" t="str">
        <x:v>需要只读约束、参数化查询和结果摘要</x:v>
      </x:c>
      <x:c r="F22" s="20" t="str">
        <x:v>高</x:v>
      </x:c>
      <x:c r="G22" s="20" t="str">
        <x:v>连接 SQLite 或 PostgreSQL 并验证查询</x:v>
      </x:c>
      <x:c r="H22" s="23" t="n">
        <x:v>46292</x:v>
      </x:c>
      <x:c r="I22" s="42" t="str">
        <x:v>未开始</x:v>
      </x:c>
      <x:c r="J22" s="56" t="n">
        <x:v>0</x:v>
      </x:c>
    </x:row>
    <x:row r="23" ht="56" customHeight="1">
      <x:c r="A23" s="20" t="str">
        <x:v>Memory / Checkpoint</x:v>
      </x:c>
      <x:c r="B23" s="20" t="str">
        <x:v>Agent</x:v>
      </x:c>
      <x:c r="C23" s="20" t="str">
        <x:v>缺失</x:v>
      </x:c>
      <x:c r="D23" s="20" t="str">
        <x:v>无多轮状态实现</x:v>
      </x:c>
      <x:c r="E23" s="20" t="str">
        <x:v>需要理解短期状态、Checkpoint 和上下文风险</x:v>
      </x:c>
      <x:c r="F23" s="20" t="str">
        <x:v>高</x:v>
      </x:c>
      <x:c r="G23" s="20" t="str">
        <x:v>让 Agent 在多轮对话中保留必要状态</x:v>
      </x:c>
      <x:c r="H23" s="23" t="n">
        <x:v>46293</x:v>
      </x:c>
      <x:c r="I23" s="42" t="str">
        <x:v>未开始</x:v>
      </x:c>
      <x:c r="J23" s="56" t="n">
        <x:v>0</x:v>
      </x:c>
    </x:row>
    <x:row r="24" ht="56" customHeight="1">
      <x:c r="A24" s="20" t="str">
        <x:v>FastAPI / async</x:v>
      </x:c>
      <x:c r="B24" s="20" t="str">
        <x:v>后端</x:v>
      </x:c>
      <x:c r="C24" s="20" t="str">
        <x:v>缺失</x:v>
      </x:c>
      <x:c r="D24" s="20" t="str">
        <x:v>REST 基础可用，FastAPI 与异步实践不足</x:v>
      </x:c>
      <x:c r="E24" s="20" t="str">
        <x:v>需完成 API、校验、并发、超时和错误处理</x:v>
      </x:c>
      <x:c r="F24" s="20" t="str">
        <x:v>高</x:v>
      </x:c>
      <x:c r="G24" s="20" t="str">
        <x:v>实现并检查 /chat 与 /upload</x:v>
      </x:c>
      <x:c r="H24" s="23" t="n">
        <x:v>46305</x:v>
      </x:c>
      <x:c r="I24" s="42" t="str">
        <x:v>未开始</x:v>
      </x:c>
      <x:c r="J24" s="56" t="n">
        <x:v>0</x:v>
      </x:c>
    </x:row>
    <x:row r="25" ht="56" customHeight="1">
      <x:c r="A25" s="20" t="str">
        <x:v>BM25 / Hybrid Search</x:v>
      </x:c>
      <x:c r="B25" s="20" t="str">
        <x:v>检索增强</x:v>
      </x:c>
      <x:c r="C25" s="20" t="str">
        <x:v>缺失</x:v>
      </x:c>
      <x:c r="D25" s="20" t="str">
        <x:v>无对比实验</x:v>
      </x:c>
      <x:c r="E25" s="20" t="str">
        <x:v>需要比较关键词与向量检索并实现最小合并策略</x:v>
      </x:c>
      <x:c r="F25" s="20" t="str">
        <x:v>中</x:v>
      </x:c>
      <x:c r="G25" s="20" t="str">
        <x:v>在同一 QA 集上完成检索对比</x:v>
      </x:c>
      <x:c r="H25" s="23" t="n">
        <x:v>46298</x:v>
      </x:c>
      <x:c r="I25" s="42" t="str">
        <x:v>未开始</x:v>
      </x:c>
      <x:c r="J25" s="56" t="n">
        <x:v>0</x:v>
      </x:c>
    </x:row>
    <x:row r="26" ht="56" customHeight="1">
      <x:c r="A26" s="20" t="str">
        <x:v>Reranker</x:v>
      </x:c>
      <x:c r="B26" s="20" t="str">
        <x:v>检索增强</x:v>
      </x:c>
      <x:c r="C26" s="20" t="str">
        <x:v>缺失</x:v>
      </x:c>
      <x:c r="D26" s="20" t="str">
        <x:v>无项目实现</x:v>
      </x:c>
      <x:c r="E26" s="20" t="str">
        <x:v>需要理解召回、排序、上下文预算和延迟权衡</x:v>
      </x:c>
      <x:c r="F26" s="20" t="str">
        <x:v>中</x:v>
      </x:c>
      <x:c r="G26" s="20" t="str">
        <x:v>实现 Retrieval → Reranking → Context</x:v>
      </x:c>
      <x:c r="H26" s="23" t="n">
        <x:v>46299</x:v>
      </x:c>
      <x:c r="I26" s="42" t="str">
        <x:v>未开始</x:v>
      </x:c>
      <x:c r="J26" s="56" t="n">
        <x:v>0</x:v>
      </x:c>
    </x:row>
    <x:row r="27" ht="56" customHeight="1">
      <x:c r="A27" s="20" t="str">
        <x:v>PostgreSQL / pgvector</x:v>
      </x:c>
      <x:c r="B27" s="20" t="str">
        <x:v>数据</x:v>
      </x:c>
      <x:c r="C27" s="20" t="str">
        <x:v>薄弱</x:v>
      </x:c>
      <x:c r="D27" s="20" t="str">
        <x:v>SQL basics 可用，持久化向量检索不足</x:v>
      </x:c>
      <x:c r="E27" s="20" t="str">
        <x:v>需要掌握 schema、索引和连接管理</x:v>
      </x:c>
      <x:c r="F27" s="20" t="str">
        <x:v>中</x:v>
      </x:c>
      <x:c r="G27" s="20" t="str">
        <x:v>完成最小持久化检索方案</x:v>
      </x:c>
      <x:c r="H27" s="23" t="n">
        <x:v>46297</x:v>
      </x:c>
      <x:c r="I27" s="42" t="str">
        <x:v>未开始</x:v>
      </x:c>
      <x:c r="J27" s="56" t="n">
        <x:v>0</x:v>
      </x:c>
    </x:row>
    <x:row r="28" ht="56" customHeight="1">
      <x:c r="A28" s="20" t="str">
        <x:v>MCP</x:v>
      </x:c>
      <x:c r="B28" s="20" t="str">
        <x:v>Agent 生态</x:v>
      </x:c>
      <x:c r="C28" s="20" t="str">
        <x:v>缺失</x:v>
      </x:c>
      <x:c r="D28" s="20" t="str">
        <x:v>尚无实践</x:v>
      </x:c>
      <x:c r="E28" s="20" t="str">
        <x:v>优先级低于 RAG、Agent、LangGraph、FastAPI 与 SQL</x:v>
      </x:c>
      <x:c r="F28" s="20" t="str">
        <x:v>低</x:v>
      </x:c>
      <x:c r="G28" s="20" t="str">
        <x:v>完成核心链路后学习 MCP 概念和最小示例</x:v>
      </x:c>
      <x:c r="H28" s="23" t="n">
        <x:v>46310</x:v>
      </x:c>
      <x:c r="I28" s="42" t="str">
        <x:v>未开始</x:v>
      </x:c>
      <x:c r="J28" s="56" t="n">
        <x:v>0</x:v>
      </x:c>
    </x:row>
    <x:row r="29" ht="56" customHeight="1">
      <x:c r="A29" s="20" t="str">
        <x:v>Docker / Deployment</x:v>
      </x:c>
      <x:c r="B29" s="20" t="str">
        <x:v>工程化</x:v>
      </x:c>
      <x:c r="C29" s="20" t="str">
        <x:v>薄弱</x:v>
      </x:c>
      <x:c r="D29" s="20" t="str">
        <x:v>缺少生产化 AI 应用打包证据</x:v>
      </x:c>
      <x:c r="E29" s="20" t="str">
        <x:v>需要依赖锁定、环境变量、启动流程和 README</x:v>
      </x:c>
      <x:c r="F29" s="20" t="str">
        <x:v>中</x:v>
      </x:c>
      <x:c r="G29" s="20" t="str">
        <x:v>完成 Docker 基础和可复现启动说明</x:v>
      </x:c>
      <x:c r="H29" s="23" t="n">
        <x:v>46301</x:v>
      </x:c>
      <x:c r="I29" s="42" t="str">
        <x:v>未开始</x:v>
      </x:c>
      <x:c r="J29" s="56" t="n">
        <x:v>0</x:v>
      </x:c>
    </x:row>
    <x:row r="30" ht="56" customHeight="1">
      <x:c r="A30" s="20" t="str">
        <x:v>COMP9417 / COMP9444</x:v>
      </x:c>
      <x:c r="B30" s="20" t="str">
        <x:v>面试复习</x:v>
      </x:c>
      <x:c r="C30" s="20" t="str">
        <x:v>可用但需复习</x:v>
      </x:c>
      <x:c r="D30" s="20" t="str">
        <x:v>具备 ML/DL 课程基础与项目经验</x:v>
      </x:c>
      <x:c r="E30" s="20" t="str">
        <x:v>需要恢复概念表达和面试答题速度</x:v>
      </x:c>
      <x:c r="F30" s="20" t="str">
        <x:v>中</x:v>
      </x:c>
      <x:c r="G30" s="20" t="str">
        <x:v>完成 ML/DL 重点题库复盘</x:v>
      </x:c>
      <x:c r="H30" s="23" t="n">
        <x:v>46307</x:v>
      </x:c>
      <x:c r="I30" s="42" t="str">
        <x:v>未开始</x:v>
      </x:c>
      <x:c r="J30" s="56" t="n">
        <x:v>0</x:v>
      </x:c>
    </x:row>
    <x:row r="31" ht="56" customHeight="1">
      <x:c r="A31" s="21" t="str">
        <x:v>COMP9414 / COMP9517</x:v>
      </x:c>
      <x:c r="B31" s="21" t="str">
        <x:v>面试复习</x:v>
      </x:c>
      <x:c r="C31" s="21" t="str">
        <x:v>可用但需复习</x:v>
      </x:c>
      <x:c r="D31" s="21" t="str">
        <x:v>具备 AI/CV 课程与项目基础</x:v>
      </x:c>
      <x:c r="E31" s="21" t="str">
        <x:v>需要复习搜索、MDP、CV 基础和项目取舍</x:v>
      </x:c>
      <x:c r="F31" s="21" t="str">
        <x:v>低</x:v>
      </x:c>
      <x:c r="G31" s="21" t="str">
        <x:v>完成 AI/CV 重点题库复盘</x:v>
      </x:c>
      <x:c r="H31" s="24" t="n">
        <x:v>46308</x:v>
      </x:c>
      <x:c r="I31" s="45" t="str">
        <x:v>未开始</x:v>
      </x:c>
      <x:c r="J31" s="57" t="n">
        <x:v>0</x:v>
      </x:c>
    </x:row>
  </x:sheetData>
  <x:conditionalFormatting sqref="I5:I31">
    <x:cfRule type="containsText" dxfId="10" priority="1" operator="containsText" text="已完成"/>
    <x:cfRule type="containsText" dxfId="11" priority="2" operator="containsText" text="进行中"/>
    <x:cfRule type="containsText" dxfId="12" priority="3" operator="containsText" text="部分完成"/>
    <x:cfRule type="containsText" dxfId="13" priority="4" operator="containsText" text="受阻"/>
    <x:cfRule type="containsText" dxfId="14" priority="5" operator="containsText" text="已延期"/>
  </x:conditionalFormatting>
  <x:conditionalFormatting sqref="J5:J31">
    <x:cfRule type="dataBar" priority="6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{8360E36F-F275-5A88-A8DE-67A29151F877}</x14:id>
        </x:ext>
      </x:extLst>
    </x:cfRule>
  </x:conditionalFormatting>
  <x:conditionalFormatting sqref="F5:F31">
    <x:cfRule type="containsText" dxfId="15" priority="7" operator="containsText" text="高"/>
  </x:conditionalFormatting>
  <x:dataValidations count="3">
    <x:dataValidation type="list" sqref="C5:C31">
      <x:formula1>"强项,可用但需复习,薄弱,缺失"</x:formula1>
    </x:dataValidation>
    <x:dataValidation type="list" sqref="F5:F31">
      <x:formula1>"高,中,低"</x:formula1>
    </x:dataValidation>
    <x:dataValidation type="list" sqref="I5:I31">
      <x:formula1>"未开始,进行中,部分完成,已完成,已延期,受阻"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2db411f51943d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8360E36F-F275-5A88-A8DE-67A29151F877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J5:J31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46" hidden="0" customWidth="1"/>
    <x:col min="5" max="5" width="18" hidden="0" customWidth="1"/>
    <x:col min="6" max="6" width="22" hidden="0" customWidth="1"/>
    <x:col min="7" max="7" width="52" hidden="0" customWidth="1"/>
    <x:col min="8" max="8" width="40" hidden="0" customWidth="1"/>
    <x:col min="9" max="9" width="12" hidden="0" customWidth="1"/>
    <x:col min="10" max="10" width="14" hidden="0" customWidth="1"/>
    <x:col min="11" max="11" width="32" hidden="0" customWidth="1"/>
  </x:cols>
  <x:sheetData>
    <x:row r="1" ht="24" customHeight="1">
      <x:c r="A1" s="7" t="str">
        <x:v>面试与笔试问题记录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24" customHeight="1">
      <x:c r="A2" s="4" t="str">
        <x:v>真实笔试或面试结束后立即记录所有记得的问题，并标记“完全会、理解但答不出、忘记、完全不会”；模拟题与真实题必须区分。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34" customHeight="1">
      <x:c r="A4" s="13" t="str">
        <x:v>日期</x:v>
      </x:c>
      <x:c r="B4" s="14" t="str">
        <x:v>公司/场次</x:v>
      </x:c>
      <x:c r="C4" s="14" t="str">
        <x:v>类别</x:v>
      </x:c>
      <x:c r="D4" s="14" t="str">
        <x:v>问题</x:v>
      </x:c>
      <x:c r="E4" s="14" t="str">
        <x:v>回答情况</x:v>
      </x:c>
      <x:c r="F4" s="14" t="str">
        <x:v>问题原因</x:v>
      </x:c>
      <x:c r="G4" s="14" t="str">
        <x:v>标准答案要点</x:v>
      </x:c>
      <x:c r="H4" s="14" t="str">
        <x:v>后续复习任务</x:v>
      </x:c>
      <x:c r="I4" s="14" t="str">
        <x:v>复习日期</x:v>
      </x:c>
      <x:c r="J4" s="14" t="str">
        <x:v>状态</x:v>
      </x:c>
      <x:c r="K4" s="15" t="str">
        <x:v>备注</x:v>
      </x:c>
    </x:row>
    <x:row r="5" ht="60" customHeight="1">
      <x:c r="A5" s="22" t="n">
        <x:v>46310</x:v>
      </x:c>
      <x:c r="B5" s="19" t="str">
        <x:v>模拟技术面试</x:v>
      </x:c>
      <x:c r="C5" s="19" t="str">
        <x:v>项目</x:v>
      </x:c>
      <x:c r="D5" s="19" t="str">
        <x:v>如何在 3–5 分钟内介绍 Enterprise Knowledge Agent？</x:v>
      </x:c>
      <x:c r="E5" s="39" t="str">
        <x:v>未评估</x:v>
      </x:c>
      <x:c r="F5" s="39" t="str"/>
      <x:c r="G5" s="19" t="str">
        <x:v>从业务问题、架构、个人实现、技术取舍、真实结果和下一步展开。</x:v>
      </x:c>
      <x:c r="H5" s="39" t="str">
        <x:v>在模拟面试中口述回答并记录不足</x:v>
      </x:c>
      <x:c r="I5" s="49" t="n">
        <x:v>46310</x:v>
      </x:c>
      <x:c r="J5" s="39" t="str">
        <x:v>待复习</x:v>
      </x:c>
      <x:c r="K5" s="39" t="str">
        <x:v>计划题，不代表真实面试已发生</x:v>
      </x:c>
    </x:row>
    <x:row r="6" ht="60" customHeight="1">
      <x:c r="A6" s="23" t="n">
        <x:v>46310</x:v>
      </x:c>
      <x:c r="B6" s="20" t="str">
        <x:v>模拟技术面试</x:v>
      </x:c>
      <x:c r="C6" s="20" t="str">
        <x:v>RAG</x:v>
      </x:c>
      <x:c r="D6" s="20" t="str">
        <x:v>请解释完整的 RAG architecture。</x:v>
      </x:c>
      <x:c r="E6" s="42" t="str">
        <x:v>未评估</x:v>
      </x:c>
      <x:c r="F6" s="42" t="str"/>
      <x:c r="G6" s="20" t="str">
        <x:v>说明解析、Chunking、Embedding、Index、Retrieve、可选 Reranker、Prompt、LLM answer 与 Citation。</x:v>
      </x:c>
      <x:c r="H6" s="42" t="str">
        <x:v>在模拟面试中口述回答并记录不足</x:v>
      </x:c>
      <x:c r="I6" s="50" t="n">
        <x:v>46310</x:v>
      </x:c>
      <x:c r="J6" s="42" t="str">
        <x:v>待复习</x:v>
      </x:c>
      <x:c r="K6" s="42" t="str">
        <x:v>计划题，不代表真实面试已发生</x:v>
      </x:c>
    </x:row>
    <x:row r="7" ht="60" customHeight="1">
      <x:c r="A7" s="23" t="n">
        <x:v>46310</x:v>
      </x:c>
      <x:c r="B7" s="20" t="str">
        <x:v>模拟技术面试</x:v>
      </x:c>
      <x:c r="C7" s="20" t="str">
        <x:v>RAG</x:v>
      </x:c>
      <x:c r="D7" s="20" t="str">
        <x:v>为什么需要 Embedding？</x:v>
      </x:c>
      <x:c r="E7" s="42" t="str">
        <x:v>未评估</x:v>
      </x:c>
      <x:c r="F7" s="42" t="str"/>
      <x:c r="G7" s="20" t="str">
        <x:v>解释语义表示、相似度检索、与关键词检索的差异及局限。</x:v>
      </x:c>
      <x:c r="H7" s="42" t="str">
        <x:v>在模拟面试中口述回答并记录不足</x:v>
      </x:c>
      <x:c r="I7" s="50" t="n">
        <x:v>46310</x:v>
      </x:c>
      <x:c r="J7" s="42" t="str">
        <x:v>待复习</x:v>
      </x:c>
      <x:c r="K7" s="42" t="str">
        <x:v>计划题，不代表真实面试已发生</x:v>
      </x:c>
    </x:row>
    <x:row r="8" ht="60" customHeight="1">
      <x:c r="A8" s="23" t="n">
        <x:v>46310</x:v>
      </x:c>
      <x:c r="B8" s="20" t="str">
        <x:v>模拟技术面试</x:v>
      </x:c>
      <x:c r="C8" s="20" t="str">
        <x:v>RAG</x:v>
      </x:c>
      <x:c r="D8" s="20" t="str">
        <x:v>为什么使用 Reranker？</x:v>
      </x:c>
      <x:c r="E8" s="42" t="str">
        <x:v>未评估</x:v>
      </x:c>
      <x:c r="F8" s="42" t="str"/>
      <x:c r="G8" s="20" t="str">
        <x:v>初筛提高召回，Reranker 改善排序；说明精度、成本和延迟权衡。</x:v>
      </x:c>
      <x:c r="H8" s="42" t="str">
        <x:v>在模拟面试中口述回答并记录不足</x:v>
      </x:c>
      <x:c r="I8" s="50" t="n">
        <x:v>46310</x:v>
      </x:c>
      <x:c r="J8" s="42" t="str">
        <x:v>待复习</x:v>
      </x:c>
      <x:c r="K8" s="42" t="str">
        <x:v>计划题，不代表真实面试已发生</x:v>
      </x:c>
    </x:row>
    <x:row r="9" ht="60" customHeight="1">
      <x:c r="A9" s="23" t="n">
        <x:v>46310</x:v>
      </x:c>
      <x:c r="B9" s="20" t="str">
        <x:v>模拟技术面试</x:v>
      </x:c>
      <x:c r="C9" s="20" t="str">
        <x:v>Agent</x:v>
      </x:c>
      <x:c r="D9" s="20" t="str">
        <x:v>Agent 与 Workflow 有什么区别？</x:v>
      </x:c>
      <x:c r="E9" s="42" t="str">
        <x:v>未评估</x:v>
      </x:c>
      <x:c r="F9" s="42" t="str"/>
      <x:c r="G9" s="20" t="str">
        <x:v>比较动态决策与预定义路径、可控性、成本、失败模式和适用场景。</x:v>
      </x:c>
      <x:c r="H9" s="42" t="str">
        <x:v>在模拟面试中口述回答并记录不足</x:v>
      </x:c>
      <x:c r="I9" s="50" t="n">
        <x:v>46310</x:v>
      </x:c>
      <x:c r="J9" s="42" t="str">
        <x:v>待复习</x:v>
      </x:c>
      <x:c r="K9" s="42" t="str">
        <x:v>计划题，不代表真实面试已发生</x:v>
      </x:c>
    </x:row>
    <x:row r="10" ht="60" customHeight="1">
      <x:c r="A10" s="23" t="n">
        <x:v>46310</x:v>
      </x:c>
      <x:c r="B10" s="20" t="str">
        <x:v>模拟技术面试</x:v>
      </x:c>
      <x:c r="C10" s="20" t="str">
        <x:v>Agent</x:v>
      </x:c>
      <x:c r="D10" s="20" t="str">
        <x:v>Tool Calling 如何工作？</x:v>
      </x:c>
      <x:c r="E10" s="42" t="str">
        <x:v>未评估</x:v>
      </x:c>
      <x:c r="F10" s="42" t="str"/>
      <x:c r="G10" s="20" t="str">
        <x:v>说明工具 schema、模型选择、参数验证、执行、结果回传和最终回答。</x:v>
      </x:c>
      <x:c r="H10" s="42" t="str">
        <x:v>在模拟面试中口述回答并记录不足</x:v>
      </x:c>
      <x:c r="I10" s="50" t="n">
        <x:v>46310</x:v>
      </x:c>
      <x:c r="J10" s="42" t="str">
        <x:v>待复习</x:v>
      </x:c>
      <x:c r="K10" s="42" t="str">
        <x:v>计划题，不代表真实面试已发生</x:v>
      </x:c>
    </x:row>
    <x:row r="11" ht="60" customHeight="1">
      <x:c r="A11" s="23" t="n">
        <x:v>46310</x:v>
      </x:c>
      <x:c r="B11" s="20" t="str">
        <x:v>模拟技术面试</x:v>
      </x:c>
      <x:c r="C11" s="20" t="str">
        <x:v>Agent</x:v>
      </x:c>
      <x:c r="D11" s="20" t="str">
        <x:v>为什么 Agent 可能进入循环？如何控制？</x:v>
      </x:c>
      <x:c r="E11" s="42" t="str">
        <x:v>未评估</x:v>
      </x:c>
      <x:c r="F11" s="42" t="str"/>
      <x:c r="G11" s="20" t="str">
        <x:v>原因包括状态不清、工具失败和停止条件不足；使用最大步数、超时、状态检查与回退。</x:v>
      </x:c>
      <x:c r="H11" s="42" t="str">
        <x:v>在模拟面试中口述回答并记录不足</x:v>
      </x:c>
      <x:c r="I11" s="50" t="n">
        <x:v>46310</x:v>
      </x:c>
      <x:c r="J11" s="42" t="str">
        <x:v>待复习</x:v>
      </x:c>
      <x:c r="K11" s="42" t="str">
        <x:v>计划题，不代表真实面试已发生</x:v>
      </x:c>
    </x:row>
    <x:row r="12" ht="60" customHeight="1">
      <x:c r="A12" s="23" t="n">
        <x:v>46310</x:v>
      </x:c>
      <x:c r="B12" s="20" t="str">
        <x:v>模拟技术面试</x:v>
      </x:c>
      <x:c r="C12" s="20" t="str">
        <x:v>Agent</x:v>
      </x:c>
      <x:c r="D12" s="20" t="str">
        <x:v>Memory 如何实现？</x:v>
      </x:c>
      <x:c r="E12" s="42" t="str">
        <x:v>未评估</x:v>
      </x:c>
      <x:c r="F12" s="42" t="str"/>
      <x:c r="G12" s="20" t="str">
        <x:v>区分短期状态、Checkpoint、长期存储；说明上下文压缩、隐私和一致性。</x:v>
      </x:c>
      <x:c r="H12" s="42" t="str">
        <x:v>在模拟面试中口述回答并记录不足</x:v>
      </x:c>
      <x:c r="I12" s="50" t="n">
        <x:v>46310</x:v>
      </x:c>
      <x:c r="J12" s="42" t="str">
        <x:v>待复习</x:v>
      </x:c>
      <x:c r="K12" s="42" t="str">
        <x:v>计划题，不代表真实面试已发生</x:v>
      </x:c>
    </x:row>
    <x:row r="13" ht="60" customHeight="1">
      <x:c r="A13" s="23" t="n">
        <x:v>46310</x:v>
      </x:c>
      <x:c r="B13" s="20" t="str">
        <x:v>模拟技术面试</x:v>
      </x:c>
      <x:c r="C13" s="20" t="str">
        <x:v>RAG</x:v>
      </x:c>
      <x:c r="D13" s="20" t="str">
        <x:v>RAG 如何减少幻觉？</x:v>
      </x:c>
      <x:c r="E13" s="42" t="str">
        <x:v>未评估</x:v>
      </x:c>
      <x:c r="F13" s="42" t="str"/>
      <x:c r="G13" s="20" t="str">
        <x:v>通过可检索证据和引用约束回答，但不能完全消除；需评测召回、上下文和回答 groundedness。</x:v>
      </x:c>
      <x:c r="H13" s="42" t="str">
        <x:v>在模拟面试中口述回答并记录不足</x:v>
      </x:c>
      <x:c r="I13" s="50" t="n">
        <x:v>46310</x:v>
      </x:c>
      <x:c r="J13" s="42" t="str">
        <x:v>待复习</x:v>
      </x:c>
      <x:c r="K13" s="42" t="str">
        <x:v>计划题，不代表真实面试已发生</x:v>
      </x:c>
    </x:row>
    <x:row r="14" ht="60" customHeight="1">
      <x:c r="A14" s="23" t="n">
        <x:v>46310</x:v>
      </x:c>
      <x:c r="B14" s="20" t="str">
        <x:v>模拟技术面试</x:v>
      </x:c>
      <x:c r="C14" s="20" t="str">
        <x:v>后端</x:v>
      </x:c>
      <x:c r="D14" s="20" t="str">
        <x:v>大量用户并发访问时会发生什么？</x:v>
      </x:c>
      <x:c r="E14" s="42" t="str">
        <x:v>未评估</x:v>
      </x:c>
      <x:c r="F14" s="42" t="str"/>
      <x:c r="G14" s="20" t="str">
        <x:v>讨论异步 I/O、连接池、队列、限流、缓存、超时、重试、可观测性和模型配额。</x:v>
      </x:c>
      <x:c r="H14" s="42" t="str">
        <x:v>在模拟面试中口述回答并记录不足</x:v>
      </x:c>
      <x:c r="I14" s="50" t="n">
        <x:v>46310</x:v>
      </x:c>
      <x:c r="J14" s="42" t="str">
        <x:v>待复习</x:v>
      </x:c>
      <x:c r="K14" s="42" t="str">
        <x:v>计划题，不代表真实面试已发生</x:v>
      </x:c>
    </x:row>
    <x:row r="15" ht="60" customHeight="1">
      <x:c r="A15" s="23" t="n">
        <x:v>46310</x:v>
      </x:c>
      <x:c r="B15" s="20" t="str">
        <x:v>模拟技术面试</x:v>
      </x:c>
      <x:c r="C15" s="20" t="str">
        <x:v>RAG</x:v>
      </x:c>
      <x:c r="D15" s="20" t="str">
        <x:v>如何处理超大 PDF？</x:v>
      </x:c>
      <x:c r="E15" s="42" t="str">
        <x:v>未评估</x:v>
      </x:c>
      <x:c r="F15" s="42" t="str"/>
      <x:c r="G15" s="20" t="str">
        <x:v>流式解析、分页与分层 Chunking、增量索引、metadata、批处理、去重、缓存和评测。</x:v>
      </x:c>
      <x:c r="H15" s="42" t="str">
        <x:v>在模拟面试中口述回答并记录不足</x:v>
      </x:c>
      <x:c r="I15" s="50" t="n">
        <x:v>46310</x:v>
      </x:c>
      <x:c r="J15" s="42" t="str">
        <x:v>待复习</x:v>
      </x:c>
      <x:c r="K15" s="42" t="str">
        <x:v>计划题，不代表真实面试已发生</x:v>
      </x:c>
    </x:row>
    <x:row r="16" ht="60" customHeight="1">
      <x:c r="A16" s="23"/>
      <x:c r="B16" s="20"/>
      <x:c r="C16" s="20"/>
      <x:c r="D16" s="20"/>
      <x:c r="E16" s="42"/>
      <x:c r="F16" s="42"/>
      <x:c r="G16" s="20"/>
      <x:c r="H16" s="42"/>
      <x:c r="I16" s="50"/>
      <x:c r="J16" s="42"/>
      <x:c r="K16" s="42"/>
    </x:row>
    <x:row r="17" ht="60" customHeight="1">
      <x:c r="A17" s="23"/>
      <x:c r="B17" s="20"/>
      <x:c r="C17" s="20"/>
      <x:c r="D17" s="20"/>
      <x:c r="E17" s="42"/>
      <x:c r="F17" s="42"/>
      <x:c r="G17" s="20"/>
      <x:c r="H17" s="42"/>
      <x:c r="I17" s="50"/>
      <x:c r="J17" s="42"/>
      <x:c r="K17" s="42"/>
    </x:row>
    <x:row r="18" ht="60" customHeight="1">
      <x:c r="A18" s="23"/>
      <x:c r="B18" s="20"/>
      <x:c r="C18" s="20"/>
      <x:c r="D18" s="20"/>
      <x:c r="E18" s="42"/>
      <x:c r="F18" s="42"/>
      <x:c r="G18" s="20"/>
      <x:c r="H18" s="42"/>
      <x:c r="I18" s="50"/>
      <x:c r="J18" s="42"/>
      <x:c r="K18" s="42"/>
    </x:row>
    <x:row r="19" ht="60" customHeight="1">
      <x:c r="A19" s="23"/>
      <x:c r="B19" s="20"/>
      <x:c r="C19" s="20"/>
      <x:c r="D19" s="20"/>
      <x:c r="E19" s="42"/>
      <x:c r="F19" s="42"/>
      <x:c r="G19" s="20"/>
      <x:c r="H19" s="42"/>
      <x:c r="I19" s="50"/>
      <x:c r="J19" s="42"/>
      <x:c r="K19" s="42"/>
    </x:row>
    <x:row r="20" ht="60" customHeight="1">
      <x:c r="A20" s="23"/>
      <x:c r="B20" s="20"/>
      <x:c r="C20" s="20"/>
      <x:c r="D20" s="20"/>
      <x:c r="E20" s="42"/>
      <x:c r="F20" s="42"/>
      <x:c r="G20" s="20"/>
      <x:c r="H20" s="42"/>
      <x:c r="I20" s="50"/>
      <x:c r="J20" s="42"/>
      <x:c r="K20" s="42"/>
    </x:row>
    <x:row r="21" ht="60" customHeight="1">
      <x:c r="A21" s="23"/>
      <x:c r="B21" s="20"/>
      <x:c r="C21" s="20"/>
      <x:c r="D21" s="20"/>
      <x:c r="E21" s="42"/>
      <x:c r="F21" s="42"/>
      <x:c r="G21" s="20"/>
      <x:c r="H21" s="42"/>
      <x:c r="I21" s="50"/>
      <x:c r="J21" s="42"/>
      <x:c r="K21" s="42"/>
    </x:row>
    <x:row r="22" ht="60" customHeight="1">
      <x:c r="A22" s="23"/>
      <x:c r="B22" s="20"/>
      <x:c r="C22" s="20"/>
      <x:c r="D22" s="20"/>
      <x:c r="E22" s="42"/>
      <x:c r="F22" s="42"/>
      <x:c r="G22" s="20"/>
      <x:c r="H22" s="42"/>
      <x:c r="I22" s="50"/>
      <x:c r="J22" s="42"/>
      <x:c r="K22" s="42"/>
    </x:row>
    <x:row r="23" ht="60" customHeight="1">
      <x:c r="A23" s="23"/>
      <x:c r="B23" s="20"/>
      <x:c r="C23" s="20"/>
      <x:c r="D23" s="20"/>
      <x:c r="E23" s="42"/>
      <x:c r="F23" s="42"/>
      <x:c r="G23" s="20"/>
      <x:c r="H23" s="42"/>
      <x:c r="I23" s="50"/>
      <x:c r="J23" s="42"/>
      <x:c r="K23" s="42"/>
    </x:row>
    <x:row r="24" ht="60" customHeight="1">
      <x:c r="A24" s="23"/>
      <x:c r="B24" s="20"/>
      <x:c r="C24" s="20"/>
      <x:c r="D24" s="20"/>
      <x:c r="E24" s="42"/>
      <x:c r="F24" s="42"/>
      <x:c r="G24" s="20"/>
      <x:c r="H24" s="42"/>
      <x:c r="I24" s="50"/>
      <x:c r="J24" s="42"/>
      <x:c r="K24" s="42"/>
    </x:row>
    <x:row r="25" ht="60" customHeight="1">
      <x:c r="A25" s="23"/>
      <x:c r="B25" s="20"/>
      <x:c r="C25" s="20"/>
      <x:c r="D25" s="20"/>
      <x:c r="E25" s="42"/>
      <x:c r="F25" s="42"/>
      <x:c r="G25" s="20"/>
      <x:c r="H25" s="42"/>
      <x:c r="I25" s="50"/>
      <x:c r="J25" s="42"/>
      <x:c r="K25" s="42"/>
    </x:row>
    <x:row r="26" ht="60" customHeight="1">
      <x:c r="A26" s="23"/>
      <x:c r="B26" s="20"/>
      <x:c r="C26" s="20"/>
      <x:c r="D26" s="20"/>
      <x:c r="E26" s="42"/>
      <x:c r="F26" s="42"/>
      <x:c r="G26" s="20"/>
      <x:c r="H26" s="42"/>
      <x:c r="I26" s="50"/>
      <x:c r="J26" s="42"/>
      <x:c r="K26" s="42"/>
    </x:row>
    <x:row r="27" ht="60" customHeight="1">
      <x:c r="A27" s="23"/>
      <x:c r="B27" s="20"/>
      <x:c r="C27" s="20"/>
      <x:c r="D27" s="20"/>
      <x:c r="E27" s="42"/>
      <x:c r="F27" s="42"/>
      <x:c r="G27" s="20"/>
      <x:c r="H27" s="42"/>
      <x:c r="I27" s="50"/>
      <x:c r="J27" s="42"/>
      <x:c r="K27" s="42"/>
    </x:row>
    <x:row r="28" ht="60" customHeight="1">
      <x:c r="A28" s="23"/>
      <x:c r="B28" s="20"/>
      <x:c r="C28" s="20"/>
      <x:c r="D28" s="20"/>
      <x:c r="E28" s="42"/>
      <x:c r="F28" s="42"/>
      <x:c r="G28" s="20"/>
      <x:c r="H28" s="42"/>
      <x:c r="I28" s="50"/>
      <x:c r="J28" s="42"/>
      <x:c r="K28" s="42"/>
    </x:row>
    <x:row r="29" ht="60" customHeight="1">
      <x:c r="A29" s="23"/>
      <x:c r="B29" s="20"/>
      <x:c r="C29" s="20"/>
      <x:c r="D29" s="20"/>
      <x:c r="E29" s="42"/>
      <x:c r="F29" s="42"/>
      <x:c r="G29" s="20"/>
      <x:c r="H29" s="42"/>
      <x:c r="I29" s="50"/>
      <x:c r="J29" s="42"/>
      <x:c r="K29" s="42"/>
    </x:row>
    <x:row r="30" ht="60" customHeight="1">
      <x:c r="A30" s="23"/>
      <x:c r="B30" s="20"/>
      <x:c r="C30" s="20"/>
      <x:c r="D30" s="20"/>
      <x:c r="E30" s="42"/>
      <x:c r="F30" s="42"/>
      <x:c r="G30" s="20"/>
      <x:c r="H30" s="42"/>
      <x:c r="I30" s="50"/>
      <x:c r="J30" s="42"/>
      <x:c r="K30" s="42"/>
    </x:row>
    <x:row r="31" ht="60" customHeight="1">
      <x:c r="A31" s="23"/>
      <x:c r="B31" s="20"/>
      <x:c r="C31" s="20"/>
      <x:c r="D31" s="20"/>
      <x:c r="E31" s="42"/>
      <x:c r="F31" s="42"/>
      <x:c r="G31" s="20"/>
      <x:c r="H31" s="42"/>
      <x:c r="I31" s="50"/>
      <x:c r="J31" s="42"/>
      <x:c r="K31" s="42"/>
    </x:row>
    <x:row r="32" ht="60" customHeight="1">
      <x:c r="A32" s="23"/>
      <x:c r="B32" s="20"/>
      <x:c r="C32" s="20"/>
      <x:c r="D32" s="20"/>
      <x:c r="E32" s="42"/>
      <x:c r="F32" s="42"/>
      <x:c r="G32" s="20"/>
      <x:c r="H32" s="42"/>
      <x:c r="I32" s="50"/>
      <x:c r="J32" s="42"/>
      <x:c r="K32" s="42"/>
    </x:row>
    <x:row r="33" ht="60" customHeight="1">
      <x:c r="A33" s="23"/>
      <x:c r="B33" s="20"/>
      <x:c r="C33" s="20"/>
      <x:c r="D33" s="20"/>
      <x:c r="E33" s="42"/>
      <x:c r="F33" s="42"/>
      <x:c r="G33" s="20"/>
      <x:c r="H33" s="42"/>
      <x:c r="I33" s="50"/>
      <x:c r="J33" s="42"/>
      <x:c r="K33" s="42"/>
    </x:row>
    <x:row r="34" ht="60" customHeight="1">
      <x:c r="A34" s="24"/>
      <x:c r="B34" s="21"/>
      <x:c r="C34" s="21"/>
      <x:c r="D34" s="21"/>
      <x:c r="E34" s="45"/>
      <x:c r="F34" s="45"/>
      <x:c r="G34" s="21"/>
      <x:c r="H34" s="45"/>
      <x:c r="I34" s="51"/>
      <x:c r="J34" s="45"/>
      <x:c r="K34" s="45"/>
    </x:row>
  </x:sheetData>
  <x:conditionalFormatting sqref="E5:E34">
    <x:cfRule type="containsText" dxfId="16" priority="1" operator="containsText" text="完全不会"/>
    <x:cfRule type="containsText" dxfId="17" priority="2" operator="containsText" text="理解但答不出"/>
  </x:conditionalFormatting>
  <x:conditionalFormatting sqref="J5:J34">
    <x:cfRule type="containsText" dxfId="18" priority="3" operator="containsText" text="已掌握"/>
  </x:conditionalFormatting>
  <x:dataValidations count="3">
    <x:dataValidation type="list" sqref="E5:E34">
      <x:formula1>"未评估,完全会,理解但答不出,忘记,完全不会"</x:formula1>
    </x:dataValidation>
    <x:dataValidation type="list" sqref="F5:F34">
      <x:formula1>",从未学习,学过但忘记,理解但表达不清,编码薄弱,时间压力,不适用"</x:formula1>
    </x:dataValidation>
    <x:dataValidation type="list" sqref="J5:J34">
      <x:formula1>"待复习,复习中,已掌握"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dbd2abdbdf4d4b"/>
  </x:tableParts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12" hidden="0" customWidth="1"/>
    <x:col min="5" max="5" width="12" hidden="0" customWidth="1"/>
    <x:col min="6" max="6" width="18" hidden="0" customWidth="1"/>
    <x:col min="7" max="7" width="14" hidden="0" customWidth="1"/>
    <x:col min="8" max="8" width="46" hidden="0" customWidth="1"/>
    <x:col min="9" max="9" width="30" hidden="0" customWidth="1"/>
  </x:cols>
  <x:sheetData>
    <x:row r="1" ht="24" customHeight="1">
      <x:c r="A1" s="7" t="str">
        <x:v>JD 技能需求频次</x:v>
      </x:c>
      <x:c r="B1" s="7"/>
      <x:c r="C1" s="7"/>
      <x:c r="D1" s="7"/>
      <x:c r="E1" s="7"/>
      <x:c r="F1" s="7"/>
      <x:c r="G1" s="7"/>
      <x:c r="H1" s="7"/>
      <x:c r="I1" s="7"/>
    </x:row>
    <x:row r="2" ht="24" customHeight="1">
      <x:c r="A2" s="4" t="str">
        <x:v>从真实 JD 关键要求自动统计关键词。累计 30–50 份样本后，优先调整重复出现的技能，不因单个岗位引入大量新框架。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 ht="34" customHeight="1">
      <x:c r="A4" s="13" t="str">
        <x:v>技能类别</x:v>
      </x:c>
      <x:c r="B4" s="14" t="str">
        <x:v>检索关键词</x:v>
      </x:c>
      <x:c r="C4" s="14" t="str">
        <x:v>JD 出现次数</x:v>
      </x:c>
      <x:c r="D4" s="14" t="str">
        <x:v>JD 样本数</x:v>
      </x:c>
      <x:c r="E4" s="14" t="str">
        <x:v>出现比例</x:v>
      </x:c>
      <x:c r="F4" s="14" t="str">
        <x:v>当前水平</x:v>
      </x:c>
      <x:c r="G4" s="14" t="str">
        <x:v>学习优先级</x:v>
      </x:c>
      <x:c r="H4" s="14" t="str">
        <x:v>计划调整建议</x:v>
      </x:c>
      <x:c r="I4" s="15" t="str">
        <x:v>备注</x:v>
      </x:c>
    </x:row>
    <x:row r="5" ht="48" customHeight="1">
      <x:c r="A5" s="19" t="str">
        <x:v>Python</x:v>
      </x:c>
      <x:c r="B5" s="39" t="str">
        <x:v>Python</x:v>
      </x:c>
      <x:c r="C5" s="61" t="n">
        <x:f>COUNTIF('Job Applications'!$D$5:$D$104,"*"&amp;B5&amp;"*")</x:f>
        <x:v>0</x:v>
      </x:c>
      <x:c r="D5" s="61" t="n">
        <x:f>COUNTA('Job Applications'!$A$5:$A$104)</x:f>
        <x:v>0</x:v>
      </x:c>
      <x:c r="E5" s="64" t="str">
        <x:f>IF(D5=0,"",C5/D5)</x:f>
      </x:c>
      <x:c r="F5" s="39" t="str">
        <x:v>可用但需复习</x:v>
      </x:c>
      <x:c r="G5" s="39" t="str">
        <x:v>高</x:v>
      </x:c>
      <x:c r="H5" s="39" t="str">
        <x:v>保持工程化练习并结合主项目展示。</x:v>
      </x:c>
      <x:c r="I5" s="39" t="str"/>
    </x:row>
    <x:row r="6" ht="48" customHeight="1">
      <x:c r="A6" s="20" t="str">
        <x:v>RAG</x:v>
      </x:c>
      <x:c r="B6" s="42" t="str">
        <x:v>RAG</x:v>
      </x:c>
      <x:c r="C6" s="62" t="n">
        <x:f>COUNTIF('Job Applications'!$D$5:$D$104,"*"&amp;B6&amp;"*")</x:f>
        <x:v>0</x:v>
      </x:c>
      <x:c r="D6" s="62" t="n">
        <x:f>COUNTA('Job Applications'!$A$5:$A$104)</x:f>
        <x:v>0</x:v>
      </x:c>
      <x:c r="E6" s="65" t="str">
        <x:f>IF(D6=0,"",C6/D6)</x:f>
      </x:c>
      <x:c r="F6" s="42" t="str">
        <x:v>缺失</x:v>
      </x:c>
      <x:c r="G6" s="42" t="str">
        <x:v>高</x:v>
      </x:c>
      <x:c r="H6" s="42" t="str">
        <x:v>优先完成 RAG 闭环、引用和评测。</x:v>
      </x:c>
      <x:c r="I6" s="42" t="str"/>
    </x:row>
    <x:row r="7" ht="48" customHeight="1">
      <x:c r="A7" s="20" t="str">
        <x:v>Agent</x:v>
      </x:c>
      <x:c r="B7" s="42" t="str">
        <x:v>Agent</x:v>
      </x:c>
      <x:c r="C7" s="62" t="n">
        <x:f>COUNTIF('Job Applications'!$D$5:$D$104,"*"&amp;B7&amp;"*")</x:f>
        <x:v>0</x:v>
      </x:c>
      <x:c r="D7" s="62" t="n">
        <x:f>COUNTA('Job Applications'!$A$5:$A$104)</x:f>
        <x:v>0</x:v>
      </x:c>
      <x:c r="E7" s="65" t="str">
        <x:f>IF(D7=0,"",C7/D7)</x:f>
      </x:c>
      <x:c r="F7" s="42" t="str">
        <x:v>薄弱</x:v>
      </x:c>
      <x:c r="G7" s="42" t="str">
        <x:v>高</x:v>
      </x:c>
      <x:c r="H7" s="42" t="str">
        <x:v>完成 Agent loop、多工具与失败控制。</x:v>
      </x:c>
      <x:c r="I7" s="42" t="str"/>
    </x:row>
    <x:row r="8" ht="48" customHeight="1">
      <x:c r="A8" s="20" t="str">
        <x:v>Tool Calling</x:v>
      </x:c>
      <x:c r="B8" s="42" t="str">
        <x:v>Tool Calling</x:v>
      </x:c>
      <x:c r="C8" s="62" t="n">
        <x:f>COUNTIF('Job Applications'!$D$5:$D$104,"*"&amp;B8&amp;"*")</x:f>
        <x:v>0</x:v>
      </x:c>
      <x:c r="D8" s="62" t="n">
        <x:f>COUNTA('Job Applications'!$A$5:$A$104)</x:f>
        <x:v>0</x:v>
      </x:c>
      <x:c r="E8" s="65" t="str">
        <x:f>IF(D8=0,"",C8/D8)</x:f>
      </x:c>
      <x:c r="F8" s="42" t="str">
        <x:v>薄弱</x:v>
      </x:c>
      <x:c r="G8" s="42" t="str">
        <x:v>高</x:v>
      </x:c>
      <x:c r="H8" s="42" t="str">
        <x:v>用 Calculator、RAG、SQL 三类工具形成证据。</x:v>
      </x:c>
      <x:c r="I8" s="42" t="str"/>
    </x:row>
    <x:row r="9" ht="48" customHeight="1">
      <x:c r="A9" s="20" t="str">
        <x:v>LangChain</x:v>
      </x:c>
      <x:c r="B9" s="42" t="str">
        <x:v>LangChain</x:v>
      </x:c>
      <x:c r="C9" s="62" t="n">
        <x:f>COUNTIF('Job Applications'!$D$5:$D$104,"*"&amp;B9&amp;"*")</x:f>
        <x:v>0</x:v>
      </x:c>
      <x:c r="D9" s="62" t="n">
        <x:f>COUNTA('Job Applications'!$A$5:$A$104)</x:f>
        <x:v>0</x:v>
      </x:c>
      <x:c r="E9" s="65" t="str">
        <x:f>IF(D9=0,"",C9/D9)</x:f>
      </x:c>
      <x:c r="F9" s="42" t="str">
        <x:v>缺失</x:v>
      </x:c>
      <x:c r="G9" s="42" t="str">
        <x:v>中</x:v>
      </x:c>
      <x:c r="H9" s="42" t="str">
        <x:v>仅在 JD 高频或项目确有需要时补充，不与 LangGraph 并行扩张。</x:v>
      </x:c>
      <x:c r="I9" s="42" t="str"/>
    </x:row>
    <x:row r="10" ht="48" customHeight="1">
      <x:c r="A10" s="20" t="str">
        <x:v>LangGraph</x:v>
      </x:c>
      <x:c r="B10" s="42" t="str">
        <x:v>LangGraph</x:v>
      </x:c>
      <x:c r="C10" s="62" t="n">
        <x:f>COUNTIF('Job Applications'!$D$5:$D$104,"*"&amp;B10&amp;"*")</x:f>
        <x:v>0</x:v>
      </x:c>
      <x:c r="D10" s="62" t="n">
        <x:f>COUNTA('Job Applications'!$A$5:$A$104)</x:f>
        <x:v>0</x:v>
      </x:c>
      <x:c r="E10" s="65" t="str">
        <x:f>IF(D10=0,"",C10/D10)</x:f>
      </x:c>
      <x:c r="F10" s="42" t="str">
        <x:v>缺失</x:v>
      </x:c>
      <x:c r="G10" s="42" t="str">
        <x:v>高</x:v>
      </x:c>
      <x:c r="H10" s="42" t="str">
        <x:v>完成 State、Node、Edge、Router 与 Memory。</x:v>
      </x:c>
      <x:c r="I10" s="42" t="str"/>
    </x:row>
    <x:row r="11" ht="48" customHeight="1">
      <x:c r="A11" s="20" t="str">
        <x:v>FastAPI</x:v>
      </x:c>
      <x:c r="B11" s="42" t="str">
        <x:v>FastAPI</x:v>
      </x:c>
      <x:c r="C11" s="62" t="n">
        <x:f>COUNTIF('Job Applications'!$D$5:$D$104,"*"&amp;B11&amp;"*")</x:f>
        <x:v>0</x:v>
      </x:c>
      <x:c r="D11" s="62" t="n">
        <x:f>COUNTA('Job Applications'!$A$5:$A$104)</x:f>
        <x:v>0</x:v>
      </x:c>
      <x:c r="E11" s="65" t="str">
        <x:f>IF(D11=0,"",C11/D11)</x:f>
      </x:c>
      <x:c r="F11" s="42" t="str">
        <x:v>缺失</x:v>
      </x:c>
      <x:c r="G11" s="42" t="str">
        <x:v>高</x:v>
      </x:c>
      <x:c r="H11" s="42" t="str">
        <x:v>实现 /chat、/upload 和错误处理。</x:v>
      </x:c>
      <x:c r="I11" s="42" t="str"/>
    </x:row>
    <x:row r="12" ht="48" customHeight="1">
      <x:c r="A12" s="20" t="str">
        <x:v>SQL</x:v>
      </x:c>
      <x:c r="B12" s="42" t="str">
        <x:v>SQL</x:v>
      </x:c>
      <x:c r="C12" s="62" t="n">
        <x:f>COUNTIF('Job Applications'!$D$5:$D$104,"*"&amp;B12&amp;"*")</x:f>
        <x:v>0</x:v>
      </x:c>
      <x:c r="D12" s="62" t="n">
        <x:f>COUNTA('Job Applications'!$A$5:$A$104)</x:f>
        <x:v>0</x:v>
      </x:c>
      <x:c r="E12" s="65" t="str">
        <x:f>IF(D12=0,"",C12/D12)</x:f>
      </x:c>
      <x:c r="F12" s="42" t="str">
        <x:v>可用但需复习</x:v>
      </x:c>
      <x:c r="G12" s="42" t="str">
        <x:v>高</x:v>
      </x:c>
      <x:c r="H12" s="42" t="str">
        <x:v>复习查询基础并实现 SQL Tool。</x:v>
      </x:c>
      <x:c r="I12" s="42" t="str"/>
    </x:row>
    <x:row r="13" ht="48" customHeight="1">
      <x:c r="A13" s="20" t="str">
        <x:v>Vector DB</x:v>
      </x:c>
      <x:c r="B13" s="42" t="str">
        <x:v>Vector</x:v>
      </x:c>
      <x:c r="C13" s="62" t="n">
        <x:f>COUNTIF('Job Applications'!$D$5:$D$104,"*"&amp;B13&amp;"*")</x:f>
        <x:v>0</x:v>
      </x:c>
      <x:c r="D13" s="62" t="n">
        <x:f>COUNTA('Job Applications'!$A$5:$A$104)</x:f>
        <x:v>0</x:v>
      </x:c>
      <x:c r="E13" s="65" t="str">
        <x:f>IF(D13=0,"",C13/D13)</x:f>
      </x:c>
      <x:c r="F13" s="42" t="str">
        <x:v>薄弱</x:v>
      </x:c>
      <x:c r="G13" s="42" t="str">
        <x:v>高</x:v>
      </x:c>
      <x:c r="H13" s="42" t="str">
        <x:v>先使用 FAISS，再学习 pgvector/PostgreSQL。</x:v>
      </x:c>
      <x:c r="I13" s="42" t="str"/>
    </x:row>
    <x:row r="14" ht="48" customHeight="1">
      <x:c r="A14" s="20" t="str">
        <x:v>MCP</x:v>
      </x:c>
      <x:c r="B14" s="42" t="str">
        <x:v>MCP</x:v>
      </x:c>
      <x:c r="C14" s="62" t="n">
        <x:f>COUNTIF('Job Applications'!$D$5:$D$104,"*"&amp;B14&amp;"*")</x:f>
        <x:v>0</x:v>
      </x:c>
      <x:c r="D14" s="62" t="n">
        <x:f>COUNTA('Job Applications'!$A$5:$A$104)</x:f>
        <x:v>0</x:v>
      </x:c>
      <x:c r="E14" s="65" t="str">
        <x:f>IF(D14=0,"",C14/D14)</x:f>
      </x:c>
      <x:c r="F14" s="42" t="str">
        <x:v>缺失</x:v>
      </x:c>
      <x:c r="G14" s="42" t="str">
        <x:v>低</x:v>
      </x:c>
      <x:c r="H14" s="42" t="str">
        <x:v>核心 RAG/Agent/FastAPI 链路完成后再投入。</x:v>
      </x:c>
      <x:c r="I14" s="42" t="str"/>
    </x:row>
    <x:row r="15" ht="48" customHeight="1">
      <x:c r="A15" s="20" t="str">
        <x:v>Docker</x:v>
      </x:c>
      <x:c r="B15" s="42" t="str">
        <x:v>Docker</x:v>
      </x:c>
      <x:c r="C15" s="62" t="n">
        <x:f>COUNTIF('Job Applications'!$D$5:$D$104,"*"&amp;B15&amp;"*")</x:f>
        <x:v>0</x:v>
      </x:c>
      <x:c r="D15" s="62" t="n">
        <x:f>COUNTA('Job Applications'!$A$5:$A$104)</x:f>
        <x:v>0</x:v>
      </x:c>
      <x:c r="E15" s="65" t="str">
        <x:f>IF(D15=0,"",C15/D15)</x:f>
      </x:c>
      <x:c r="F15" s="42" t="str">
        <x:v>薄弱</x:v>
      </x:c>
      <x:c r="G15" s="42" t="str">
        <x:v>中</x:v>
      </x:c>
      <x:c r="H15" s="42" t="str">
        <x:v>完成依赖锁定、环境变量和启动说明。</x:v>
      </x:c>
      <x:c r="I15" s="42" t="str"/>
    </x:row>
    <x:row r="16" ht="48" customHeight="1">
      <x:c r="A16" s="20" t="str">
        <x:v>React / TypeScript</x:v>
      </x:c>
      <x:c r="B16" s="42" t="str">
        <x:v>React</x:v>
      </x:c>
      <x:c r="C16" s="62" t="n">
        <x:f>COUNTIF('Job Applications'!$D$5:$D$104,"*"&amp;B16&amp;"*")</x:f>
        <x:v>0</x:v>
      </x:c>
      <x:c r="D16" s="62" t="n">
        <x:f>COUNTA('Job Applications'!$A$5:$A$104)</x:f>
        <x:v>0</x:v>
      </x:c>
      <x:c r="E16" s="65" t="str">
        <x:f>IF(D16=0,"",C16/D16)</x:f>
      </x:c>
      <x:c r="F16" s="42" t="str">
        <x:v>强项</x:v>
      </x:c>
      <x:c r="G16" s="42" t="str">
        <x:v>中</x:v>
      </x:c>
      <x:c r="H16" s="42" t="str">
        <x:v>通过聊天界面证明 AI Full-Stack 能力。</x:v>
      </x:c>
      <x:c r="I16" s="42" t="str"/>
    </x:row>
    <x:row r="17" ht="48" customHeight="1">
      <x:c r="A17" s="20" t="str">
        <x:v>PostgreSQL / pgvector</x:v>
      </x:c>
      <x:c r="B17" s="42" t="str">
        <x:v>pgvector</x:v>
      </x:c>
      <x:c r="C17" s="62" t="n">
        <x:f>COUNTIF('Job Applications'!$D$5:$D$104,"*"&amp;B17&amp;"*")</x:f>
        <x:v>0</x:v>
      </x:c>
      <x:c r="D17" s="62" t="n">
        <x:f>COUNTA('Job Applications'!$A$5:$A$104)</x:f>
        <x:v>0</x:v>
      </x:c>
      <x:c r="E17" s="65" t="str">
        <x:f>IF(D17=0,"",C17/D17)</x:f>
      </x:c>
      <x:c r="F17" s="42" t="str">
        <x:v>薄弱</x:v>
      </x:c>
      <x:c r="G17" s="42" t="str">
        <x:v>中</x:v>
      </x:c>
      <x:c r="H17" s="42" t="str">
        <x:v>根据真实 JD 频次决定是否深化。</x:v>
      </x:c>
      <x:c r="I17" s="42" t="str"/>
    </x:row>
    <x:row r="18" ht="48" customHeight="1">
      <x:c r="A18" s="21" t="str">
        <x:v>RAG Evaluation</x:v>
      </x:c>
      <x:c r="B18" s="45" t="str">
        <x:v>Evaluation</x:v>
      </x:c>
      <x:c r="C18" s="63" t="n">
        <x:f>COUNTIF('Job Applications'!$D$5:$D$104,"*"&amp;B18&amp;"*")</x:f>
        <x:v>0</x:v>
      </x:c>
      <x:c r="D18" s="63" t="n">
        <x:f>COUNTA('Job Applications'!$A$5:$A$104)</x:f>
        <x:v>0</x:v>
      </x:c>
      <x:c r="E18" s="66" t="str">
        <x:f>IF(D18=0,"",C18/D18)</x:f>
      </x:c>
      <x:c r="F18" s="45" t="str">
        <x:v>缺失</x:v>
      </x:c>
      <x:c r="G18" s="45" t="str">
        <x:v>高</x:v>
      </x:c>
      <x:c r="H18" s="45" t="str">
        <x:v>建立测试集，只记录真实测量结果。</x:v>
      </x:c>
      <x:c r="I18" s="45" t="str"/>
    </x:row>
  </x:sheetData>
  <x:conditionalFormatting sqref="G5:G18">
    <x:cfRule type="containsText" dxfId="19" priority="1" operator="containsText" text="高"/>
  </x:conditionalFormatting>
  <x:conditionalFormatting sqref="E5:E18">
    <x:cfRule type="dataBar" priority="2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{A19E6828-8B33-5A70-EADA-D9EC16C4E085}</x14:id>
        </x:ext>
      </x:extLst>
    </x:cfRule>
  </x:conditionalFormatting>
  <x:dataValidations count="2">
    <x:dataValidation type="list" sqref="F5:F18">
      <x:formula1>"强项,可用但需复习,薄弱,缺失"</x:formula1>
    </x:dataValidation>
    <x:dataValidation type="list" sqref="G5:G18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b609aa392e46b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19E6828-8B33-5A70-EADA-D9EC16C4E085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E5:E18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52" hidden="0" customWidth="1"/>
    <x:col min="5" max="5" width="18" hidden="0" customWidth="1"/>
    <x:col min="6" max="6" width="14" hidden="0" customWidth="1"/>
    <x:col min="7" max="7" width="11" hidden="0" customWidth="1"/>
    <x:col min="8" max="8" width="14" hidden="0" customWidth="1"/>
    <x:col min="9" max="9" width="42" hidden="0" customWidth="1"/>
    <x:col min="10" max="10" width="32" hidden="0" customWidth="1"/>
    <x:col min="11" max="11" width="34" hidden="0" customWidth="1"/>
    <x:col min="12" max="12" width="28" hidden="0" customWidth="1"/>
  </x:cols>
  <x:sheetData>
    <x:row r="1" ht="24" customHeight="1">
      <x:c r="A1" s="7" t="str">
        <x:v>Enterprise Knowledge Agent 项目里程碑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4" customHeight="1">
      <x:c r="A2" s="4" t="str">
        <x:v>完成必须由可运行实现、清晰解释、面试答题或项目演示支持。简历只使用已完成且有证据的技术与结果。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34" customHeight="1">
      <x:c r="A4" s="13" t="str">
        <x:v>编号</x:v>
      </x:c>
      <x:c r="B4" s="14" t="str">
        <x:v>里程碑</x:v>
      </x:c>
      <x:c r="C4" s="14" t="str">
        <x:v>计划完成日期</x:v>
      </x:c>
      <x:c r="D4" s="14" t="str">
        <x:v>交付标准</x:v>
      </x:c>
      <x:c r="E4" s="14" t="str">
        <x:v>依赖项</x:v>
      </x:c>
      <x:c r="F4" s="14" t="str">
        <x:v>状态</x:v>
      </x:c>
      <x:c r="G4" s="14" t="str">
        <x:v>完成率</x:v>
      </x:c>
      <x:c r="H4" s="14" t="str">
        <x:v>实际完成日期</x:v>
      </x:c>
      <x:c r="I4" s="14" t="str">
        <x:v>实际成果/证据</x:v>
      </x:c>
      <x:c r="J4" s="14" t="str">
        <x:v>问题/风险</x:v>
      </x:c>
      <x:c r="K4" s="14" t="str">
        <x:v>后续动作</x:v>
      </x:c>
      <x:c r="L4" s="15" t="str">
        <x:v>备注</x:v>
      </x:c>
    </x:row>
    <x:row r="5" ht="56" customHeight="1">
      <x:c r="A5" s="19" t="str">
        <x:v>M1</x:v>
      </x:c>
      <x:c r="B5" s="19" t="str">
        <x:v>项目启动与 LLM API</x:v>
      </x:c>
      <x:c r="C5" s="22" t="n">
        <x:v>46281</x:v>
      </x:c>
      <x:c r="D5" s="19" t="str">
        <x:v>仓库、环境、目录和一次可运行 LLM API 调用</x:v>
      </x:c>
      <x:c r="E5" s="19" t="str">
        <x:v>无</x:v>
      </x:c>
      <x:c r="F5" s="39" t="str">
        <x:v>未开始</x:v>
      </x:c>
      <x:c r="G5" s="55" t="n">
        <x:v>0</x:v>
      </x:c>
      <x:c r="H5" s="49"/>
      <x:c r="I5" s="39" t="str"/>
      <x:c r="J5" s="39" t="str"/>
      <x:c r="K5" s="39" t="str"/>
      <x:c r="L5" s="39" t="str"/>
    </x:row>
    <x:row r="6" ht="56" customHeight="1">
      <x:c r="A6" s="20" t="str">
        <x:v>V1</x:v>
      </x:c>
      <x:c r="B6" s="20" t="str">
        <x:v>Basic RAG</x:v>
      </x:c>
      <x:c r="C6" s="23" t="n">
        <x:v>46286</x:v>
      </x:c>
      <x:c r="D6" s="20" t="str">
        <x:v>PDF 解析、Chunking、Embedding、FAISS 检索和回答闭环可运行</x:v>
      </x:c>
      <x:c r="E6" s="20" t="str">
        <x:v>M1</x:v>
      </x:c>
      <x:c r="F6" s="42" t="str">
        <x:v>未开始</x:v>
      </x:c>
      <x:c r="G6" s="56" t="n">
        <x:v>0</x:v>
      </x:c>
      <x:c r="H6" s="50"/>
      <x:c r="I6" s="42" t="str"/>
      <x:c r="J6" s="42" t="str"/>
      <x:c r="K6" s="42" t="str"/>
      <x:c r="L6" s="42" t="str"/>
    </x:row>
    <x:row r="7" ht="56" customHeight="1">
      <x:c r="A7" s="20" t="str">
        <x:v>V2</x:v>
      </x:c>
      <x:c r="B7" s="20" t="str">
        <x:v>Citation 与结构化输出</x:v>
      </x:c>
      <x:c r="C7" s="23" t="n">
        <x:v>46287</x:v>
      </x:c>
      <x:c r="D7" s="20" t="str">
        <x:v>回答包含可核对来源；关键输出使用 schema 验证</x:v>
      </x:c>
      <x:c r="E7" s="20" t="str">
        <x:v>V1</x:v>
      </x:c>
      <x:c r="F7" s="42" t="str">
        <x:v>未开始</x:v>
      </x:c>
      <x:c r="G7" s="56" t="n">
        <x:v>0</x:v>
      </x:c>
      <x:c r="H7" s="50"/>
      <x:c r="I7" s="42" t="str"/>
      <x:c r="J7" s="42" t="str"/>
      <x:c r="K7" s="42" t="str"/>
      <x:c r="L7" s="42" t="str"/>
    </x:row>
    <x:row r="8" ht="56" customHeight="1">
      <x:c r="A8" s="20" t="str">
        <x:v>V3</x:v>
      </x:c>
      <x:c r="B8" s="20" t="str">
        <x:v>Tool Calling 与 Agent Router</x:v>
      </x:c>
      <x:c r="C8" s="23" t="n">
        <x:v>46291</x:v>
      </x:c>
      <x:c r="D8" s="20" t="str">
        <x:v>Calculator Tool 可用；LangGraph 能路由 RAG 与普通 LLM</x:v>
      </x:c>
      <x:c r="E8" s="20" t="str">
        <x:v>V2</x:v>
      </x:c>
      <x:c r="F8" s="42" t="str">
        <x:v>未开始</x:v>
      </x:c>
      <x:c r="G8" s="56" t="n">
        <x:v>0</x:v>
      </x:c>
      <x:c r="H8" s="50"/>
      <x:c r="I8" s="42" t="str"/>
      <x:c r="J8" s="42" t="str"/>
      <x:c r="K8" s="42" t="str"/>
      <x:c r="L8" s="42" t="str"/>
    </x:row>
    <x:row r="9" ht="56" customHeight="1">
      <x:c r="A9" s="20" t="str">
        <x:v>V4</x:v>
      </x:c>
      <x:c r="B9" s="20" t="str">
        <x:v>SQL Tool</x:v>
      </x:c>
      <x:c r="C9" s="23" t="n">
        <x:v>46292</x:v>
      </x:c>
      <x:c r="D9" s="20" t="str">
        <x:v>受限只读 SQL 查询可运行并完成至少 3 个验证查询</x:v>
      </x:c>
      <x:c r="E9" s="20" t="str">
        <x:v>V3</x:v>
      </x:c>
      <x:c r="F9" s="42" t="str">
        <x:v>未开始</x:v>
      </x:c>
      <x:c r="G9" s="56" t="n">
        <x:v>0</x:v>
      </x:c>
      <x:c r="H9" s="50"/>
      <x:c r="I9" s="42" t="str"/>
      <x:c r="J9" s="42" t="str"/>
      <x:c r="K9" s="42" t="str"/>
      <x:c r="L9" s="42" t="str"/>
    </x:row>
    <x:row r="10" ht="56" customHeight="1">
      <x:c r="A10" s="20" t="str">
        <x:v>V5</x:v>
      </x:c>
      <x:c r="B10" s="20" t="str">
        <x:v>Memory 与多工具 Agent</x:v>
      </x:c>
      <x:c r="C10" s="23" t="n">
        <x:v>46294</x:v>
      </x:c>
      <x:c r="D10" s="20" t="str">
        <x:v>RAG、SQL、Calculator 集成；多轮会话保留必要状态</x:v>
      </x:c>
      <x:c r="E10" s="20" t="str">
        <x:v>V3、V4</x:v>
      </x:c>
      <x:c r="F10" s="42" t="str">
        <x:v>未开始</x:v>
      </x:c>
      <x:c r="G10" s="56" t="n">
        <x:v>0</x:v>
      </x:c>
      <x:c r="H10" s="50"/>
      <x:c r="I10" s="42" t="str"/>
      <x:c r="J10" s="42" t="str"/>
      <x:c r="K10" s="42" t="str"/>
      <x:c r="L10" s="42" t="str"/>
    </x:row>
    <x:row r="11" ht="56" customHeight="1">
      <x:c r="A11" s="20" t="str">
        <x:v>V6</x:v>
      </x:c>
      <x:c r="B11" s="20" t="str">
        <x:v>FastAPI 与 React</x:v>
      </x:c>
      <x:c r="C11" s="23" t="n">
        <x:v>46296</x:v>
      </x:c>
      <x:c r="D11" s="20" t="str">
        <x:v>/chat、/upload 可用；React 界面能显示回答和来源</x:v>
      </x:c>
      <x:c r="E11" s="20" t="str">
        <x:v>V5</x:v>
      </x:c>
      <x:c r="F11" s="42" t="str">
        <x:v>未开始</x:v>
      </x:c>
      <x:c r="G11" s="56" t="n">
        <x:v>0</x:v>
      </x:c>
      <x:c r="H11" s="50"/>
      <x:c r="I11" s="42" t="str"/>
      <x:c r="J11" s="42" t="str"/>
      <x:c r="K11" s="42" t="str"/>
      <x:c r="L11" s="42" t="str"/>
    </x:row>
    <x:row r="12" ht="56" customHeight="1">
      <x:c r="A12" s="20" t="str">
        <x:v>V7</x:v>
      </x:c>
      <x:c r="B12" s="20" t="str">
        <x:v>PostgreSQL / pgvector</x:v>
      </x:c>
      <x:c r="C12" s="23" t="n">
        <x:v>46297</x:v>
      </x:c>
      <x:c r="D12" s="20" t="str">
        <x:v>最小持久化方案或可复现 schema、插入和检索记录</x:v>
      </x:c>
      <x:c r="E12" s="20" t="str">
        <x:v>V6</x:v>
      </x:c>
      <x:c r="F12" s="42" t="str">
        <x:v>未开始</x:v>
      </x:c>
      <x:c r="G12" s="56" t="n">
        <x:v>0</x:v>
      </x:c>
      <x:c r="H12" s="50"/>
      <x:c r="I12" s="42" t="str"/>
      <x:c r="J12" s="42" t="str"/>
      <x:c r="K12" s="42" t="str"/>
      <x:c r="L12" s="42" t="str"/>
    </x:row>
    <x:row r="13" ht="56" customHeight="1">
      <x:c r="A13" s="20" t="str">
        <x:v>V8</x:v>
      </x:c>
      <x:c r="B13" s="20" t="str">
        <x:v>Hybrid Search 与 Reranker</x:v>
      </x:c>
      <x:c r="C13" s="23" t="n">
        <x:v>46299</x:v>
      </x:c>
      <x:c r="D13" s="20" t="str">
        <x:v>保留关键词、向量和 rerank 对比结果</x:v>
      </x:c>
      <x:c r="E13" s="20" t="str">
        <x:v>V1</x:v>
      </x:c>
      <x:c r="F13" s="42" t="str">
        <x:v>未开始</x:v>
      </x:c>
      <x:c r="G13" s="56" t="n">
        <x:v>0</x:v>
      </x:c>
      <x:c r="H13" s="50"/>
      <x:c r="I13" s="42" t="str"/>
      <x:c r="J13" s="42" t="str"/>
      <x:c r="K13" s="42" t="str"/>
      <x:c r="L13" s="42" t="str"/>
    </x:row>
    <x:row r="14" ht="56" customHeight="1">
      <x:c r="A14" s="20" t="str">
        <x:v>V9</x:v>
      </x:c>
      <x:c r="B14" s="20" t="str">
        <x:v>RAG Evaluation</x:v>
      </x:c>
      <x:c r="C14" s="23" t="n">
        <x:v>46300</x:v>
      </x:c>
      <x:c r="D14" s="20" t="str">
        <x:v>20–30 条 QA 测试集和可重复评测方法；仅记录真实指标</x:v>
      </x:c>
      <x:c r="E14" s="20" t="str">
        <x:v>V8</x:v>
      </x:c>
      <x:c r="F14" s="42" t="str">
        <x:v>未开始</x:v>
      </x:c>
      <x:c r="G14" s="56" t="n">
        <x:v>0</x:v>
      </x:c>
      <x:c r="H14" s="50"/>
      <x:c r="I14" s="42" t="str"/>
      <x:c r="J14" s="42" t="str"/>
      <x:c r="K14" s="42" t="str"/>
      <x:c r="L14" s="42" t="str"/>
    </x:row>
    <x:row r="15" ht="56" customHeight="1">
      <x:c r="A15" s="20" t="str">
        <x:v>V10</x:v>
      </x:c>
      <x:c r="B15" s="20" t="str">
        <x:v>Docker 与 GitHub V2</x:v>
      </x:c>
      <x:c r="C15" s="23" t="n">
        <x:v>46301</x:v>
      </x:c>
      <x:c r="D15" s="20" t="str">
        <x:v>README、Setup、架构图、Docker 基础和可复现演示</x:v>
      </x:c>
      <x:c r="E15" s="20" t="str">
        <x:v>V6、V9</x:v>
      </x:c>
      <x:c r="F15" s="42" t="str">
        <x:v>未开始</x:v>
      </x:c>
      <x:c r="G15" s="56" t="n">
        <x:v>0</x:v>
      </x:c>
      <x:c r="H15" s="50"/>
      <x:c r="I15" s="42" t="str"/>
      <x:c r="J15" s="42" t="str"/>
      <x:c r="K15" s="42" t="str"/>
      <x:c r="L15" s="42" t="str"/>
    </x:row>
    <x:row r="16" ht="56" customHeight="1">
      <x:c r="A16" s="21" t="str">
        <x:v>M2</x:v>
      </x:c>
      <x:c r="B16" s="21" t="str">
        <x:v>模拟面试与最终演示</x:v>
      </x:c>
      <x:c r="C16" s="24" t="n">
        <x:v>46310</x:v>
      </x:c>
      <x:c r="D16" s="21" t="str">
        <x:v>完成端到端演示；无笔记回答核心 RAG、Agent 和工程问题</x:v>
      </x:c>
      <x:c r="E16" s="21" t="str">
        <x:v>V10</x:v>
      </x:c>
      <x:c r="F16" s="45" t="str">
        <x:v>未开始</x:v>
      </x:c>
      <x:c r="G16" s="57" t="n">
        <x:v>0</x:v>
      </x:c>
      <x:c r="H16" s="51"/>
      <x:c r="I16" s="45" t="str"/>
      <x:c r="J16" s="45" t="str"/>
      <x:c r="K16" s="45" t="str"/>
      <x:c r="L16" s="45" t="str"/>
    </x:row>
  </x:sheetData>
  <x:conditionalFormatting sqref="F5:F16">
    <x:cfRule type="containsText" dxfId="20" priority="1" operator="containsText" text="已完成"/>
    <x:cfRule type="containsText" dxfId="21" priority="2" operator="containsText" text="进行中"/>
    <x:cfRule type="containsText" dxfId="22" priority="3" operator="containsText" text="部分完成"/>
    <x:cfRule type="containsText" dxfId="23" priority="4" operator="containsText" text="受阻"/>
    <x:cfRule type="containsText" dxfId="24" priority="5" operator="containsText" text="已延期"/>
  </x:conditionalFormatting>
  <x:conditionalFormatting sqref="G5:G16">
    <x:cfRule type="dataBar" priority="6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{9BE8A9C9-25DF-4674-C7FE-1050F3E9607C}</x14:id>
        </x:ext>
      </x:extLst>
    </x:cfRule>
  </x:conditionalFormatting>
  <x:dataValidations count="1">
    <x:dataValidation type="list" sqref="F5:F16">
      <x:formula1>"未开始,进行中,部分完成,已完成,已延期,受阻"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01aae5574d4b3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BE8A9C9-25DF-4674-C7FE-1050F3E9607C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G5:G16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Pr>
    <x:tabColor rgb="FF00A6A6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4" hidden="0" customWidth="1"/>
    <x:col min="6" max="6" width="12" hidden="0" customWidth="1"/>
    <x:col min="7" max="7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48" hidden="0" customWidth="1"/>
    <x:col min="12" max="12" width="36" hidden="0" customWidth="1"/>
    <x:col min="13" max="13" width="34" hidden="0" customWidth="1"/>
    <x:col min="14" max="14" width="34" hidden="0" customWidth="1"/>
    <x:col min="15" max="15" width="52" hidden="0" customWidth="1"/>
    <x:col min="16" max="16" width="14" hidden="0" customWidth="1"/>
  </x:cols>
  <x:sheetData>
    <x:row r="1" ht="24" customHeight="1">
      <x:c r="A1" s="7" t="str">
        <x:v>周复盘与后续调整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ht="24" customHeight="1">
      <x:c r="A2" s="4" t="str">
        <x:v>每个周期结束后填写实际里程碑、阻碍和新增技能差距。公式自动汇总完成率、投递、笔试与面试；只重排下一周期尚未完成的任务。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34" customHeight="1">
      <x:c r="A4" s="13" t="str">
        <x:v>周期</x:v>
      </x:c>
      <x:c r="B4" s="14" t="str">
        <x:v>开始日期</x:v>
      </x:c>
      <x:c r="C4" s="14" t="str">
        <x:v>结束日期</x:v>
      </x:c>
      <x:c r="D4" s="14" t="str">
        <x:v>计划天数</x:v>
      </x:c>
      <x:c r="E4" s="14" t="str">
        <x:v>平均完成率</x:v>
      </x:c>
      <x:c r="F4" s="14" t="str">
        <x:v>已完成天数</x:v>
      </x:c>
      <x:c r="G4" s="14" t="str">
        <x:v>部分完成天数</x:v>
      </x:c>
      <x:c r="H4" s="14" t="str">
        <x:v>投递数</x:v>
      </x:c>
      <x:c r="I4" s="14" t="str">
        <x:v>笔试数</x:v>
      </x:c>
      <x:c r="J4" s="14" t="str">
        <x:v>面试数</x:v>
      </x:c>
      <x:c r="K4" s="14" t="str">
        <x:v>计划里程碑</x:v>
      </x:c>
      <x:c r="L4" s="14" t="str">
        <x:v>实际里程碑</x:v>
      </x:c>
      <x:c r="M4" s="14" t="str">
        <x:v>主要阻碍</x:v>
      </x:c>
      <x:c r="N4" s="14" t="str">
        <x:v>新增技能差距</x:v>
      </x:c>
      <x:c r="O4" s="14" t="str">
        <x:v>下周期调整建议</x:v>
      </x:c>
      <x:c r="P4" s="15" t="str">
        <x:v>复盘状态</x:v>
      </x:c>
    </x:row>
    <x:row r="5" ht="72" customHeight="1">
      <x:c r="A5" s="19" t="str">
        <x:v>第1周</x:v>
      </x:c>
      <x:c r="B5" s="22" t="n">
        <x:v>46281</x:v>
      </x:c>
      <x:c r="C5" s="22" t="n">
        <x:v>46287</x:v>
      </x:c>
      <x:c r="D5" s="61" t="n">
        <x:f>C5-B5+1</x:f>
        <x:v>7</x:v>
      </x:c>
      <x:c r="E5" s="64" t="n">
        <x:f>AVERAGEIFS('Daily Plan'!$J$5:$J$34,'Daily Plan'!$A$5:$A$34,"&gt;="&amp;B5,'Daily Plan'!$A$5:$A$34,"&lt;="&amp;C5)</x:f>
        <x:v>0</x:v>
      </x:c>
      <x:c r="F5" s="61" t="n">
        <x:f>COUNTIFS('Daily Plan'!$A$5:$A$34,"&gt;="&amp;B5,'Daily Plan'!$A$5:$A$34,"&lt;="&amp;C5,'Daily Plan'!$I$5:$I$34,"已完成")</x:f>
        <x:v>0</x:v>
      </x:c>
      <x:c r="G5" s="61" t="n">
        <x:f>COUNTIFS('Daily Plan'!$A$5:$A$34,"&gt;="&amp;B5,'Daily Plan'!$A$5:$A$34,"&lt;="&amp;C5,'Daily Plan'!$I$5:$I$34,"部分完成")</x:f>
        <x:v>0</x:v>
      </x:c>
      <x:c r="H5" s="61" t="n">
        <x:f>COUNTIFS('Job Applications'!$G$5:$G$104,"&gt;="&amp;B5,'Job Applications'!$G$5:$G$104,"&lt;="&amp;C5)</x:f>
        <x:v>0</x:v>
      </x:c>
      <x:c r="I5" s="61" t="n">
        <x:f>COUNTIFS('Job Applications'!$J$5:$J$104,"&gt;="&amp;B5,'Job Applications'!$J$5:$J$104,"&lt;="&amp;C5)</x:f>
        <x:v>0</x:v>
      </x:c>
      <x:c r="J5" s="61" t="n">
        <x:f>COUNTIFS('Job Applications'!$K$5:$K$104,"&gt;="&amp;B5,'Job Applications'!$K$5:$K$104,"&lt;="&amp;C5)</x:f>
        <x:v>0</x:v>
      </x:c>
      <x:c r="K5" s="19" t="str">
        <x:v>RAG V1：完成带来源引用的 PDF 问答</x:v>
      </x:c>
      <x:c r="L5" s="39" t="str"/>
      <x:c r="M5" s="39" t="str"/>
      <x:c r="N5" s="39" t="str"/>
      <x:c r="O5" s="39" t="str">
        <x:v>若落后：保留 Embedding → Chunking → FAISS → RAG 依赖链，压缩 Prompt 拓展内容。</x:v>
      </x:c>
      <x:c r="P5" s="39" t="str">
        <x:v>未开始</x:v>
      </x:c>
    </x:row>
    <x:row r="6" ht="72" customHeight="1">
      <x:c r="A6" s="20" t="str">
        <x:v>第2周</x:v>
      </x:c>
      <x:c r="B6" s="23" t="n">
        <x:v>46288</x:v>
      </x:c>
      <x:c r="C6" s="23" t="n">
        <x:v>46294</x:v>
      </x:c>
      <x:c r="D6" s="62" t="n">
        <x:f>C6-B6+1</x:f>
        <x:v>7</x:v>
      </x:c>
      <x:c r="E6" s="65" t="n">
        <x:f>AVERAGEIFS('Daily Plan'!$J$5:$J$34,'Daily Plan'!$A$5:$A$34,"&gt;="&amp;B6,'Daily Plan'!$A$5:$A$34,"&lt;="&amp;C6)</x:f>
        <x:v>0</x:v>
      </x:c>
      <x:c r="F6" s="62" t="n">
        <x:f>COUNTIFS('Daily Plan'!$A$5:$A$34,"&gt;="&amp;B6,'Daily Plan'!$A$5:$A$34,"&lt;="&amp;C6,'Daily Plan'!$I$5:$I$34,"已完成")</x:f>
        <x:v>0</x:v>
      </x:c>
      <x:c r="G6" s="62" t="n">
        <x:f>COUNTIFS('Daily Plan'!$A$5:$A$34,"&gt;="&amp;B6,'Daily Plan'!$A$5:$A$34,"&lt;="&amp;C6,'Daily Plan'!$I$5:$I$34,"部分完成")</x:f>
        <x:v>0</x:v>
      </x:c>
      <x:c r="H6" s="62" t="n">
        <x:f>COUNTIFS('Job Applications'!$G$5:$G$104,"&gt;="&amp;B6,'Job Applications'!$G$5:$G$104,"&lt;="&amp;C6)</x:f>
        <x:v>0</x:v>
      </x:c>
      <x:c r="I6" s="62" t="n">
        <x:f>COUNTIFS('Job Applications'!$J$5:$J$104,"&gt;="&amp;B6,'Job Applications'!$J$5:$J$104,"&lt;="&amp;C6)</x:f>
        <x:v>0</x:v>
      </x:c>
      <x:c r="J6" s="62" t="n">
        <x:f>COUNTIFS('Job Applications'!$K$5:$K$104,"&gt;="&amp;B6,'Job Applications'!$K$5:$K$104,"&lt;="&amp;C6)</x:f>
        <x:v>0</x:v>
      </x:c>
      <x:c r="K6" s="20" t="str">
        <x:v>多工具 Agent：RAG + SQL + Calculator，具备 LangGraph Router 和 Memory</x:v>
      </x:c>
      <x:c r="L6" s="42" t="str"/>
      <x:c r="M6" s="42" t="str"/>
      <x:c r="N6" s="42" t="str"/>
      <x:c r="O6" s="42" t="str">
        <x:v>若落后：先确保 Tool Calling、Agent loop、LangGraph Router；SQL 与 Memory 可做最小实现。</x:v>
      </x:c>
      <x:c r="P6" s="42" t="str">
        <x:v>未开始</x:v>
      </x:c>
    </x:row>
    <x:row r="7" ht="72" customHeight="1">
      <x:c r="A7" s="20" t="str">
        <x:v>第3周</x:v>
      </x:c>
      <x:c r="B7" s="23" t="n">
        <x:v>46295</x:v>
      </x:c>
      <x:c r="C7" s="23" t="n">
        <x:v>46301</x:v>
      </x:c>
      <x:c r="D7" s="62" t="n">
        <x:f>C7-B7+1</x:f>
        <x:v>7</x:v>
      </x:c>
      <x:c r="E7" s="65" t="n">
        <x:f>AVERAGEIFS('Daily Plan'!$J$5:$J$34,'Daily Plan'!$A$5:$A$34,"&gt;="&amp;B7,'Daily Plan'!$A$5:$A$34,"&lt;="&amp;C7)</x:f>
        <x:v>0</x:v>
      </x:c>
      <x:c r="F7" s="62" t="n">
        <x:f>COUNTIFS('Daily Plan'!$A$5:$A$34,"&gt;="&amp;B7,'Daily Plan'!$A$5:$A$34,"&lt;="&amp;C7,'Daily Plan'!$I$5:$I$34,"已完成")</x:f>
        <x:v>0</x:v>
      </x:c>
      <x:c r="G7" s="62" t="n">
        <x:f>COUNTIFS('Daily Plan'!$A$5:$A$34,"&gt;="&amp;B7,'Daily Plan'!$A$5:$A$34,"&lt;="&amp;C7,'Daily Plan'!$I$5:$I$34,"部分完成")</x:f>
        <x:v>0</x:v>
      </x:c>
      <x:c r="H7" s="62" t="n">
        <x:f>COUNTIFS('Job Applications'!$G$5:$G$104,"&gt;="&amp;B7,'Job Applications'!$G$5:$G$104,"&lt;="&amp;C7)</x:f>
        <x:v>0</x:v>
      </x:c>
      <x:c r="I7" s="62" t="n">
        <x:f>COUNTIFS('Job Applications'!$J$5:$J$104,"&gt;="&amp;B7,'Job Applications'!$J$5:$J$104,"&lt;="&amp;C7)</x:f>
        <x:v>0</x:v>
      </x:c>
      <x:c r="J7" s="62" t="n">
        <x:f>COUNTIFS('Job Applications'!$K$5:$K$104,"&gt;="&amp;B7,'Job Applications'!$K$5:$K$104,"&lt;="&amp;C7)</x:f>
        <x:v>0</x:v>
      </x:c>
      <x:c r="K7" s="20" t="str">
        <x:v>FastAPI + React 可用；完成 Hybrid Search、Reranker、Evaluation、Docker/README</x:v>
      </x:c>
      <x:c r="L7" s="42" t="str"/>
      <x:c r="M7" s="42" t="str"/>
      <x:c r="N7" s="42" t="str"/>
      <x:c r="O7" s="42" t="str">
        <x:v>若落后：优先 FastAPI 可用接口与评测闭环；pgvector、Hybrid Search、Reranker 依次降级为最小对比。</x:v>
      </x:c>
      <x:c r="P7" s="42" t="str">
        <x:v>未开始</x:v>
      </x:c>
    </x:row>
    <x:row r="8" ht="72" customHeight="1">
      <x:c r="A8" s="20" t="str">
        <x:v>第4周</x:v>
      </x:c>
      <x:c r="B8" s="23" t="n">
        <x:v>46302</x:v>
      </x:c>
      <x:c r="C8" s="23" t="n">
        <x:v>46308</x:v>
      </x:c>
      <x:c r="D8" s="62" t="n">
        <x:f>C8-B8+1</x:f>
        <x:v>7</x:v>
      </x:c>
      <x:c r="E8" s="65" t="n">
        <x:f>AVERAGEIFS('Daily Plan'!$J$5:$J$34,'Daily Plan'!$A$5:$A$34,"&gt;="&amp;B8,'Daily Plan'!$A$5:$A$34,"&lt;="&amp;C8)</x:f>
        <x:v>0</x:v>
      </x:c>
      <x:c r="F8" s="62" t="n">
        <x:f>COUNTIFS('Daily Plan'!$A$5:$A$34,"&gt;="&amp;B8,'Daily Plan'!$A$5:$A$34,"&lt;="&amp;C8,'Daily Plan'!$I$5:$I$34,"已完成")</x:f>
        <x:v>0</x:v>
      </x:c>
      <x:c r="G8" s="62" t="n">
        <x:f>COUNTIFS('Daily Plan'!$A$5:$A$34,"&gt;="&amp;B8,'Daily Plan'!$A$5:$A$34,"&lt;="&amp;C8,'Daily Plan'!$I$5:$I$34,"部分完成")</x:f>
        <x:v>0</x:v>
      </x:c>
      <x:c r="H8" s="62" t="n">
        <x:f>COUNTIFS('Job Applications'!$G$5:$G$104,"&gt;="&amp;B8,'Job Applications'!$G$5:$G$104,"&lt;="&amp;C8)</x:f>
        <x:v>0</x:v>
      </x:c>
      <x:c r="I8" s="62" t="n">
        <x:f>COUNTIFS('Job Applications'!$J$5:$J$104,"&gt;="&amp;B8,'Job Applications'!$J$5:$J$104,"&lt;="&amp;C8)</x:f>
        <x:v>0</x:v>
      </x:c>
      <x:c r="J8" s="62" t="n">
        <x:f>COUNTIFS('Job Applications'!$K$5:$K$104,"&gt;="&amp;B8,'Job Applications'!$K$5:$K$104,"&lt;="&amp;C8)</x:f>
        <x:v>0</x:v>
      </x:c>
      <x:c r="K8" s="20" t="str">
        <x:v>完成 LLM、RAG、Agent、工程和课程重点面试复习</x:v>
      </x:c>
      <x:c r="L8" s="42" t="str"/>
      <x:c r="M8" s="42" t="str"/>
      <x:c r="N8" s="42" t="str"/>
      <x:c r="O8" s="42" t="str">
        <x:v>根据真实笔试/面试高频弱项调整复习顺序，不新增框架。</x:v>
      </x:c>
      <x:c r="P8" s="42" t="str">
        <x:v>未开始</x:v>
      </x:c>
    </x:row>
    <x:row r="9" ht="72" customHeight="1">
      <x:c r="A9" s="21" t="str">
        <x:v>冲刺收尾</x:v>
      </x:c>
      <x:c r="B9" s="24" t="n">
        <x:v>46309</x:v>
      </x:c>
      <x:c r="C9" s="24" t="n">
        <x:v>46310</x:v>
      </x:c>
      <x:c r="D9" s="63" t="n">
        <x:f>C9-B9+1</x:f>
        <x:v>2</x:v>
      </x:c>
      <x:c r="E9" s="66" t="n">
        <x:f>AVERAGEIFS('Daily Plan'!$J$5:$J$34,'Daily Plan'!$A$5:$A$34,"&gt;="&amp;B9,'Daily Plan'!$A$5:$A$34,"&lt;="&amp;C9)</x:f>
        <x:v>0</x:v>
      </x:c>
      <x:c r="F9" s="63" t="n">
        <x:f>COUNTIFS('Daily Plan'!$A$5:$A$34,"&gt;="&amp;B9,'Daily Plan'!$A$5:$A$34,"&lt;="&amp;C9,'Daily Plan'!$I$5:$I$34,"已完成")</x:f>
        <x:v>0</x:v>
      </x:c>
      <x:c r="G9" s="63" t="n">
        <x:f>COUNTIFS('Daily Plan'!$A$5:$A$34,"&gt;="&amp;B9,'Daily Plan'!$A$5:$A$34,"&lt;="&amp;C9,'Daily Plan'!$I$5:$I$34,"部分完成")</x:f>
        <x:v>0</x:v>
      </x:c>
      <x:c r="H9" s="63" t="n">
        <x:f>COUNTIFS('Job Applications'!$G$5:$G$104,"&gt;="&amp;B9,'Job Applications'!$G$5:$G$104,"&lt;="&amp;C9)</x:f>
        <x:v>0</x:v>
      </x:c>
      <x:c r="I9" s="63" t="n">
        <x:f>COUNTIFS('Job Applications'!$J$5:$J$104,"&gt;="&amp;B9,'Job Applications'!$J$5:$J$104,"&lt;="&amp;C9)</x:f>
        <x:v>0</x:v>
      </x:c>
      <x:c r="J9" s="63" t="n">
        <x:f>COUNTIFS('Job Applications'!$K$5:$K$104,"&gt;="&amp;B9,'Job Applications'!$K$5:$K$104,"&lt;="&amp;C9)</x:f>
        <x:v>0</x:v>
      </x:c>
      <x:c r="K9" s="21" t="str">
        <x:v>完成 30–50 份 JD 统计、证据化简历更新与完整模拟技术面试</x:v>
      </x:c>
      <x:c r="L9" s="45" t="str"/>
      <x:c r="M9" s="45" t="str"/>
      <x:c r="N9" s="45" t="str"/>
      <x:c r="O9" s="45" t="str">
        <x:v>只把已实现、可解释或有测量证据的内容写入简历；未完成项进入下一周期。</x:v>
      </x:c>
      <x:c r="P9" s="45" t="str">
        <x:v>未开始</x:v>
      </x:c>
    </x:row>
  </x:sheetData>
  <x:conditionalFormatting sqref="E5:E9">
    <x:cfRule type="dataBar" priority="1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{F7CEE1BB-1AFC-CBE2-A0B9-0518B47802A9}</x14:id>
        </x:ext>
      </x:extLst>
    </x:cfRule>
  </x:conditionalFormatting>
  <x:conditionalFormatting sqref="P5:P9">
    <x:cfRule type="containsText" dxfId="25" priority="2" operator="containsText" text="已完成"/>
    <x:cfRule type="containsText" dxfId="26" priority="3" operator="containsText" text="进行中"/>
    <x:cfRule type="containsText" dxfId="27" priority="4" operator="containsText" text="部分完成"/>
    <x:cfRule type="containsText" dxfId="28" priority="5" operator="containsText" text="受阻"/>
    <x:cfRule type="containsText" dxfId="29" priority="6" operator="containsText" text="已延期"/>
  </x:conditionalFormatting>
  <x:dataValidations count="1">
    <x:dataValidation type="list" sqref="P5:P9">
      <x:formula1>"未开始,待复盘,已完成"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c3a5dd371e422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7CEE1BB-1AFC-CBE2-A0B9-0518B47802A9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E5:E9</xm:sqref>
        </x14:conditionalFormatting>
      </x14:conditionalFormattings>
    </x:ext>
  </x:extLst>
</x:worksheet>
</file>